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defaultThemeVersion="166925"/>
  <mc:AlternateContent xmlns:mc="http://schemas.openxmlformats.org/markup-compatibility/2006">
    <mc:Choice Requires="x15">
      <x15ac:absPath xmlns:x15ac="http://schemas.microsoft.com/office/spreadsheetml/2010/11/ac" url="https://polymtlca-my.sharepoint.com/personal/nikolay_radoev_polymtl_ca/Documents/LOG2995/20261/Groupe03/"/>
    </mc:Choice>
  </mc:AlternateContent>
  <xr:revisionPtr revIDLastSave="684" documentId="11_58A9C1004ADABF42B0C69D68EA1142102AD74FA3" xr6:coauthVersionLast="47" xr6:coauthVersionMax="47" xr10:uidLastSave="{06EA805F-2464-42A9-804E-E32834BBBB13}"/>
  <bookViews>
    <workbookView xWindow="0" yWindow="0" windowWidth="15360" windowHeight="16680" tabRatio="500" activeTab="2" xr2:uid="{00000000-000D-0000-FFFF-FFFF00000000}"/>
  </bookViews>
  <sheets>
    <sheet name="Sommaire" sheetId="1" r:id="rId1"/>
    <sheet name="Assurance Qualité" sheetId="2" r:id="rId2"/>
    <sheet name="Fonctionnalités" sheetId="3" r:id="rId3"/>
  </sheet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7" i="1" l="1"/>
  <c r="H7" i="1" s="1"/>
  <c r="K39" i="3"/>
  <c r="K40" i="3"/>
  <c r="K41" i="3"/>
  <c r="K38" i="3"/>
  <c r="G43" i="2"/>
  <c r="G44" i="2"/>
  <c r="G45" i="2"/>
  <c r="D33" i="3"/>
  <c r="D18" i="3"/>
  <c r="D47" i="3"/>
  <c r="D46" i="3"/>
  <c r="D45" i="3"/>
  <c r="C43" i="3"/>
  <c r="D42" i="3"/>
  <c r="D41" i="3"/>
  <c r="D40" i="3"/>
  <c r="D39" i="3"/>
  <c r="D38" i="3"/>
  <c r="D37" i="3"/>
  <c r="D43" i="3" s="1"/>
  <c r="D32" i="3"/>
  <c r="D31" i="3"/>
  <c r="D30" i="3"/>
  <c r="C28" i="3"/>
  <c r="D27" i="3"/>
  <c r="D26" i="3"/>
  <c r="D25" i="3"/>
  <c r="D24" i="3"/>
  <c r="D23" i="3"/>
  <c r="D22" i="3"/>
  <c r="D17" i="3"/>
  <c r="D16" i="3"/>
  <c r="C14" i="3"/>
  <c r="D13" i="3"/>
  <c r="D12" i="3"/>
  <c r="D11" i="3"/>
  <c r="D10" i="3"/>
  <c r="D9" i="3"/>
  <c r="D8" i="3"/>
  <c r="D14" i="3" s="1"/>
  <c r="J56" i="2"/>
  <c r="I56" i="2"/>
  <c r="G56" i="2"/>
  <c r="F56" i="2"/>
  <c r="D56" i="2"/>
  <c r="C56" i="2"/>
  <c r="D49" i="2"/>
  <c r="C49" i="2"/>
  <c r="J48" i="2"/>
  <c r="G48" i="2"/>
  <c r="J47" i="2"/>
  <c r="G47" i="2"/>
  <c r="J46" i="2"/>
  <c r="G46" i="2"/>
  <c r="J45" i="2"/>
  <c r="J44" i="2"/>
  <c r="J43" i="2"/>
  <c r="J42" i="2"/>
  <c r="G42" i="2"/>
  <c r="J41" i="2"/>
  <c r="G41" i="2"/>
  <c r="J40" i="2"/>
  <c r="J49" i="2" s="1"/>
  <c r="G40" i="2"/>
  <c r="G49" i="2" s="1"/>
  <c r="J38" i="2"/>
  <c r="I38" i="2"/>
  <c r="G38" i="2"/>
  <c r="F38" i="2"/>
  <c r="D38" i="2"/>
  <c r="C38" i="2"/>
  <c r="D32" i="2"/>
  <c r="C32" i="2"/>
  <c r="J31" i="2"/>
  <c r="G31" i="2"/>
  <c r="J30" i="2"/>
  <c r="G30" i="2"/>
  <c r="J29" i="2"/>
  <c r="J32" i="2" s="1"/>
  <c r="G29" i="2"/>
  <c r="G32" i="2" s="1"/>
  <c r="J27" i="2"/>
  <c r="I27" i="2"/>
  <c r="G27" i="2"/>
  <c r="F27" i="2"/>
  <c r="D27" i="2"/>
  <c r="C27" i="2"/>
  <c r="J22" i="2"/>
  <c r="I22" i="2"/>
  <c r="G22" i="2"/>
  <c r="F22" i="2"/>
  <c r="D22" i="2"/>
  <c r="C22" i="2"/>
  <c r="D18" i="2"/>
  <c r="C18" i="2"/>
  <c r="G17" i="2"/>
  <c r="J17" i="2" s="1"/>
  <c r="G16" i="2"/>
  <c r="J16" i="2" s="1"/>
  <c r="G15" i="2"/>
  <c r="J15" i="2" s="1"/>
  <c r="G14" i="2"/>
  <c r="J14" i="2" s="1"/>
  <c r="G13" i="2"/>
  <c r="J11" i="2"/>
  <c r="I11" i="2"/>
  <c r="G11" i="2"/>
  <c r="F11" i="2"/>
  <c r="D11" i="2"/>
  <c r="D58" i="2" s="1"/>
  <c r="C11" i="2"/>
  <c r="C58" i="2" s="1"/>
  <c r="C59" i="2" s="1"/>
  <c r="B6" i="1"/>
  <c r="C5" i="1"/>
  <c r="D4" i="1"/>
  <c r="C4" i="1"/>
  <c r="B4" i="1"/>
  <c r="E4" i="1" s="1"/>
  <c r="H4" i="1" s="1"/>
  <c r="K42" i="3" l="1"/>
  <c r="K43" i="3" s="1"/>
  <c r="B48" i="3" s="1"/>
  <c r="D48" i="3" s="1"/>
  <c r="C6" i="1" s="1"/>
  <c r="D28" i="3"/>
  <c r="B5" i="1" s="1"/>
  <c r="G18" i="2"/>
  <c r="G58" i="2" s="1"/>
  <c r="J13" i="2"/>
  <c r="J18" i="2" s="1"/>
  <c r="J58" i="2" s="1"/>
  <c r="I49" i="2"/>
  <c r="F49" i="2"/>
  <c r="I32" i="2"/>
  <c r="F32" i="2"/>
  <c r="I18" i="2"/>
  <c r="I58" i="2" s="1"/>
  <c r="I59" i="2" s="1"/>
  <c r="D6" i="1" s="1"/>
  <c r="E6" i="1" s="1"/>
  <c r="H6" i="1" s="1"/>
  <c r="F18" i="2"/>
  <c r="F58" i="2" s="1"/>
  <c r="F59" i="2" s="1"/>
  <c r="D5" i="1" s="1"/>
  <c r="E5" i="1" l="1"/>
  <c r="H5" i="1" s="1"/>
</calcChain>
</file>

<file path=xl/sharedStrings.xml><?xml version="1.0" encoding="utf-8"?>
<sst xmlns="http://schemas.openxmlformats.org/spreadsheetml/2006/main" count="396" uniqueCount="241">
  <si>
    <t>Fonctionnalités</t>
  </si>
  <si>
    <t>Validation
Logicielle</t>
  </si>
  <si>
    <t>Assurance
Qualité</t>
  </si>
  <si>
    <t>Total</t>
  </si>
  <si>
    <t>Heures de retard
(-10%)/heure</t>
  </si>
  <si>
    <t>Poids</t>
  </si>
  <si>
    <t>Note pondérée</t>
  </si>
  <si>
    <t>Sprint 1</t>
  </si>
  <si>
    <t>Sprint 2</t>
  </si>
  <si>
    <t>Sprint 3</t>
  </si>
  <si>
    <t>UX</t>
  </si>
  <si>
    <t>Commentaire UX</t>
  </si>
  <si>
    <t>Alice</t>
  </si>
  <si>
    <t>Commentaires</t>
  </si>
  <si>
    <t>Vue Admin&amp;Édition</t>
  </si>
  <si>
    <t xml:space="preserve">scroll vertical </t>
  </si>
  <si>
    <t>indicateur de champ non rempli cool</t>
  </si>
  <si>
    <t>il y avait pas vraiment besoin de séparer tuiles et objets en deux tabs, on a la place et c'est juste un clic supplémetaire</t>
  </si>
  <si>
    <t>prévisualisation de placement</t>
  </si>
  <si>
    <t>erreur de validation case accessible/porte pas très visible. Idéalement, il y aura et le contour rouge et un texte</t>
  </si>
  <si>
    <t>Visible rouge et visible vert perso jsp ce que ça veut dire (utiliser une icone plutôt)</t>
  </si>
  <si>
    <t>aucun warning avant de supprimer une carte, reset, quitter, expluser etc</t>
  </si>
  <si>
    <t>Vue Création de Match, Personnage, Join et Page d'attente</t>
  </si>
  <si>
    <t>explique pas les erreurs qui fait qu'on peut pas confirmer le form de création</t>
  </si>
  <si>
    <t>fonctionnement de dés+modifiers pas clair</t>
  </si>
  <si>
    <t>scrollbar dans les box dans la salle d'attente</t>
  </si>
  <si>
    <t>cliquer sur envoyer avec la souris perd le focus de textbox clavardage</t>
  </si>
  <si>
    <t>commencer la partie pourrait être grisé si impair</t>
  </si>
  <si>
    <t>Vue de jeu</t>
  </si>
  <si>
    <t>bouton action cliquable même si pas d'action autour</t>
  </si>
  <si>
    <t>timer peu visible</t>
  </si>
  <si>
    <t>scroll à l'intérieur de la carte pour combat</t>
  </si>
  <si>
    <t>combat clair</t>
  </si>
  <si>
    <t>équipe bleu bleu sur fond bleu pas lisible</t>
  </si>
  <si>
    <t>messages de fin de partie pas personnalisé</t>
  </si>
  <si>
    <t xml:space="preserve"> Nom de la team gagnante en anglais</t>
  </si>
  <si>
    <t>Stats</t>
  </si>
  <si>
    <t>n'affiche pas les équipes</t>
  </si>
  <si>
    <t>tri sur nom du joueur impossible</t>
  </si>
  <si>
    <t>gagants pas affichés</t>
  </si>
  <si>
    <t>Global</t>
  </si>
  <si>
    <t>UI, thème, cohérence, layout</t>
  </si>
  <si>
    <t>Grille de correction LOG2990</t>
  </si>
  <si>
    <t>Assurance Qualité</t>
  </si>
  <si>
    <t>Critère</t>
  </si>
  <si>
    <t>Description</t>
  </si>
  <si>
    <t>Note</t>
  </si>
  <si>
    <t>1. Projet</t>
  </si>
  <si>
    <t>Correcteur</t>
  </si>
  <si>
    <t>Zachary</t>
  </si>
  <si>
    <t>1.1 Utilisation des Cadriciels</t>
  </si>
  <si>
    <t>Le projet respecte les meilleures pratiques des cadriciels utilisés. (Exemple: séparation des responsabilités dans les Components et Services d'Angular, syntaxe moderne d’Angular, respect de la sémantique HTTP avec Express, etc.)</t>
  </si>
  <si>
    <t xml:space="preserve"> -0,25 possibilité de fuite de mémoire dans edition-page.component.ts (le subscription reste après suppression) 
-0.25 Les composants et les services ne doivent pas exporter d'interfaces, de types, d'enums... Utilisez des fichiers dédiés (edition.service.ts)
-0, 25 les services doivent être privés et readonly dans les components et accédés par des méthodes par le HTML ou au moins être protected au lieu de public</t>
  </si>
  <si>
    <t>-0.25 definition des enums et d'interfaces dans les components</t>
  </si>
  <si>
    <t xml:space="preserve"> -0,25 game-combat-popup.component.ts ne devrait pas contenir le style pour le template html. Il devrait y avoir un fichier de css ou scss dans le même dossier
-0,25 plusieurs de vos services exportent des types 
-0,25 Vos services injectés devraient être private/protected et readonly (action-service.ts, combat-service.ts,...)
-0,25 définition d'enum, d'interface et de type dans des services (items-validator.service.ts, iactive-game.service.ts, gameplay-flag-decision.service.ts, virtual-player-sactuary.service.ts)</t>
  </si>
  <si>
    <t>1.2 Arborescence</t>
  </si>
  <si>
    <t>Le projet respecte une arborescence de fichiers claire, uniforme et structurée.
Les noms de fichiers et dossiers respectent le format kebab-case.</t>
  </si>
  <si>
    <t xml:space="preserve"> -0,25 AvatarI.ts n'est pas en kebab-case</t>
  </si>
  <si>
    <t>Sous-total</t>
  </si>
  <si>
    <t>2. Classe</t>
  </si>
  <si>
    <t>2.1 Responsabilité</t>
  </si>
  <si>
    <t>La classe n'a qu'une responsabilité claire.</t>
  </si>
  <si>
    <t>votre form-component contient trop de logique qui pourrait être dans un service à la place</t>
  </si>
  <si>
    <t>-0.5 server/game-sockets.service.ts a trop de responsabilités. Vous essayez d'utiliser un seul et unique service de socket ce qui fait que ce fichier a beaucoup de reponsabilités (connexion et rooms, gestion de lobby, déroulement d'une partie, abandon/déconnexion,  etc.). Vous avez d'ailleurs bien réussi à séparer les responsabilités correctemebt avec debugSocketService. C'est dommage de ne pas avoir séparer à minima ce qui concerne les lobbys (connexion, expulsion etc.) du déroulement d'une partie (dépalcement etc.)</t>
  </si>
  <si>
    <t>-0.2 active-game.service.ts a trop de responsabilités. Il gère l'entièreté des actions de jeu, socket mais aussi state du ui, calcul de reachability/movement etc.
-0.2 gameplay combat.service.ts gère un peu trop d'aspects. Aurait pu diviser la gestion d'attaque (position, dégats) et celle globale du combat (tours, hp etc.)</t>
  </si>
  <si>
    <t>2.2 Attributs</t>
  </si>
  <si>
    <t>La classe comporte uniquement des attributs utilisés.
La classe comporte uniquement des attributs qui sont des états de la classe.
La classe ne comporte pas d'attribut utilisé seulement dans les tests.</t>
  </si>
  <si>
    <t xml:space="preserve"> -0.2 game-table.component.ts timeout n'est pas un état de classe, et devrait juste être une constante. Même chose pour wait-page.component.ts timeout
-0.2 edition.service.ts spawnpointMaxAmount, flagMaxAmount, sanctuaryMaxAmount ne sont pas des états de classe</t>
  </si>
  <si>
    <t>-0.2 game.component.ts totalRows est assigné mais jamais lu</t>
  </si>
  <si>
    <t>2.3 Accessibilité</t>
  </si>
  <si>
    <t>La classe minimise l'accessibilité des membres. (Bonne utilisation de public/private/protected pour les attributs et les fonctions)
Les méthodes get/set font une validation quelconque sur les attributs privés.</t>
  </si>
  <si>
    <t>pénalité pour chaque fichier contenant des erreurs d'accessibilité (attribut ou fonction utilisé uniquement dans leur propre class ou leur classe de test, qui pourrait donc être privé) 
-0.2 edition-cell.component.ts getSanctuaryBgPosition
-0.2 game-edition.component.ts previousVersion, isRightClick, currentCell, lastIndexes, isShiftPressed...
-0.2 game-creation-dialog.component.ts size
-0.2 game-table.component.ts  fetchCorrectGames, timeout, adminSocketService etc.
-0.2 administration.service.ts gameService
-0.2 edition.service.ts blockingCells, sanctuaryMaxAmount, cellBelongsToObjectupdateMaxAmount etc.
-0.2 game-edit-form.service.ts gameService, getPreviewImage</t>
  </si>
  <si>
    <t>-0.2 game.component.ts tileInfoPlayerAvatarUrl, tileInfoPlayerName, tileInfoItemDescription, tileInfoItemTitle, tileInfoMovementCost etc.
-0.2 game-attack.component.ts localPlayerService est protected mais devrait être privé
-0.2 player-info.component.ts localPlayerService, activeGameService
- player-list.component.ts, wait-chat-sidebar.component.ts, wait-player-list.component.ts activeGameService
-0.2 form-page.component.ts gameId, navigator, router, localPlayerService, toastService, characterFormService
-0.2 wait-page.comnponent.ts waitGridService
-0.2 edition.service objectSizesMap, boardSharedService</t>
  </si>
  <si>
    <t>-0.2 editor-tool.component.ts gameEditFormService
-0.2 game-combat-outcome.component localPlayerName, combatTimeLeftSeconds
-0.2 game-ended.component.ts cancellationReason
-0.2 game-player-card.component.ts fightSanctuaryBonus
-0.2 editor-page.component.ts
-0.2 game-popup-state.service.ts sanctuaryPopupDescription, sanctuaryPopupEffectLabel, sanctuaryPopupTitle
-0.2 wait-grid.service gameCells</t>
  </si>
  <si>
    <t>2.4 Couplage</t>
  </si>
  <si>
    <t>La classe minimise le couplage aux autres classes.
La classe minimise les longues chaînes d'appels (ex : foo.bar.baz.foo)</t>
  </si>
  <si>
    <t>-0.25 Vous avez plusieurs composants avec des couplages relativement élevés (join-form-page, game-page, administration-page, wait-page). Normalement je pénalise de -0.25 pour chacun des fichiers, mais puisqu'ils sont tous à peine au dessus du seuil de couplage je ne vous enlève des points qu'une fois.
-0.25 game-sockets.service.ts a 5 services + 5 autres services dans GameplayServices injectés. Voir commentaire dans 2.1</t>
  </si>
  <si>
    <t>-0.25 game-page.facade injectent 7 services. Je comprends que c'est sa responsabilité de façade mais le couplage reste élevé avec game-page component (qui lui-même injecte des services) ce qui réduit l'isolation</t>
  </si>
  <si>
    <t>2.5 Valeur par défaut</t>
  </si>
  <si>
    <t>La classe initialise tous ses attributs de la même façon.
Soit à la définition, soit dans le constructeur.</t>
  </si>
  <si>
    <t>-0.1 la plupart de votre client injectent ses dépendances à la définition, mais game-turn.service le fait dans le constructeur</t>
  </si>
  <si>
    <t>3. Fonctions et méthodes</t>
  </si>
  <si>
    <t>3.1 Utilité</t>
  </si>
  <si>
    <t>La fonction est utilie et non-triviale.
La fonction a une responsabilité claire.
La fonction n'a pas une longueur trop grande.</t>
  </si>
  <si>
    <t xml:space="preserve"> -0,25 client/src/app/services/gameplay/active-game.service.ts:55 le constructeur est trop long. Il faut le réduire en appelant des méthodes au lieu d'avoir de la logique dans les fonction .on() de SocketIO
-0,25 même chose dans server/app/services/realtime/game-sockets.service.ts:32 et server/app/services/realtime/debug-socket.service.ts:17</t>
  </si>
  <si>
    <t xml:space="preserve"> -0,25 Fonction applyCombatTurn() dans combat-service.ts:45 : Fonction trop longue (80 lignes) et aurait pu être découpée 
-0,25 Fonction handleActiveGameDisconnect() dans game-session.service.ts:80 : Fonction trop longue (51 lignes) et aurait pu être découpée.
-0,25 Fonction moveToIndex() dans virtual-player.utilities.ts:173 : Fonction trop longue (58 lignes) et aurait pu être découpée.
-0,25 Fonction handleError() dans game.service.ts:60 : Paramètre non utilisé 'request'.</t>
  </si>
  <si>
    <t>3.2 Paramètres</t>
  </si>
  <si>
    <t>La fonction possède le moins de paramètres possibles en entrée.
La fonction possède uniquement des paramètres d'entrée qui sont utilisés.</t>
  </si>
  <si>
    <t xml:space="preserve"> -0,5 beaucoup de fonctions prennent en parametre une paire de rowIndex et colIndex en plus de d'autres paramètres. Les simplifier en une structure de donnée de 2 numbers aurait été mieux</t>
  </si>
  <si>
    <t>4. Gestion des ressources et erreurs</t>
  </si>
  <si>
    <t>4.1 Console</t>
  </si>
  <si>
    <t>La console ne génère pas de message d'avertissement (warning) ou d'erreur (error) qui aurait pu être gérés par le programme.</t>
  </si>
  <si>
    <t>4.2 Code asynchrone</t>
  </si>
  <si>
    <t>Le code asynchrone (Promise, Observable, Event) est géré adéquatement.</t>
  </si>
  <si>
    <t>4.3 Messages d'erreur</t>
  </si>
  <si>
    <t>Les messages d'erreur sont précis et compréhensibles par l'utilisateur moyen.</t>
  </si>
  <si>
    <t>5. Variables et constantes</t>
  </si>
  <si>
    <t>5.1 Groupement</t>
  </si>
  <si>
    <t>Les constantes sont regroupées ensemble en groupes logiques.</t>
  </si>
  <si>
    <t xml:space="preserve"> -1 vous ne mettez pas vos constantes dans un fichier séparé (edition.service.ts, form-page.component.ts, terrain-validator.service.ts, ...)</t>
  </si>
  <si>
    <t xml:space="preserve"> -0,5 character-form.service.ts (2), terrain-validator.service.ts, player-info.component.ts</t>
  </si>
  <si>
    <t>5.2 Environnement</t>
  </si>
  <si>
    <t>Des variables d'environnements sont utilisées lorsque possible.</t>
  </si>
  <si>
    <t>5.3 Contexte d'utilisation</t>
  </si>
  <si>
    <t>La constante est utilisé dans un contexte lié à la logique d'affaire. (Exemple d'erreur: const DEUX = 2,  bonne utilisation: WAIT_TIME = 5000 )</t>
  </si>
  <si>
    <t xml:space="preserve"> -0,1 ALL_EXCEPT_ONE_PLAYER_ABANDONED = 1 pourrait être quelque chose du genre MIN_PLAYER_COUNT</t>
  </si>
  <si>
    <t>6. Expressions booléennes</t>
  </si>
  <si>
    <t>6.1 Expression</t>
  </si>
  <si>
    <t>Pas de comparaisons inutiles dans une expression booléenne. (Exemple d'erreur: x === true)</t>
  </si>
  <si>
    <t>-0.25 form-page.component.ts "if (next === null)" plutôt que juste "if (next)"</t>
  </si>
  <si>
    <t>-0.25 "if (this.selectedObject === null) return;"
Aussi "!activeGame || !activeGame.game || !activeGame.game.board" pourrait juste être "!activeGame?.game?.board"</t>
  </si>
  <si>
    <t>-0.25 "if (!isSanctuaryItem(item) || item.active === false)" et "return item.active === true || …"
-0.25 "if (type !== undefined &amp;&amp; this.hasManda"
-0.25 " if (cellType === undefined) {"
-0.25 "if (doorCell === undefined)"
-0.25 "if (this.hoveredObject === null) {"</t>
  </si>
  <si>
    <t>6.2 Logique négative</t>
  </si>
  <si>
    <t>L'expression booléenne évite la logique négative. (Exemple d'erreur:  if( !notFound(…) )</t>
  </si>
  <si>
    <t>-0.25 Condition négative
"if (!gameHasStarted) {
                        await this.handleWaitingRoomDisconnect(gameId, playerId);
                    } else {
                        await this.handleActiveGameDisconnect(gameId, playerId);
                    }"
-0.25 Condition négative "this.activeGame.currentPlayerIndex =
            nextIndex !== -1 ? nextIndex : Math.min(this.activeGame.currentPlayerIndex, this.activeGame.turnOrder.length - 1);" 
condition négative (if (!x) b.. else a..) et donc inversée pour aucune raison (if (x) a... else b...)</t>
  </si>
  <si>
    <t>-0.25 "if (!activeGame.isDebugMode) {
            attackDiceBonus = this.rollDice(character.attackBonusDiceType);
        } else {
            attackDiceBonus = this.getMaxDice(character.attackBonusDiceType, character.name, activeGame);
        }" et "if (!activeGame.isDebugMode) {
            defenseDiceBonus = this.rollDice(character.defenseBonusDiceType);
        } else {
            defenseDiceBonus = this.getMaxDice(character.defenseBonusDiceType, character.name, activeGame);
        }"</t>
  </si>
  <si>
    <t>6.3 Ternaire</t>
  </si>
  <si>
    <t>Bonne utilisation des expressions ternaires.
Pas d'imbrications de ternaires qui nuisent à la compréhension de l'expression booléenne</t>
  </si>
  <si>
    <t>-0.2 game-edit-form.component.ts
"if (id) {
            observable = this.gameService.saveGame(id, gameData);
        } else {
            observable = this.gameService.createGame(gameData);
        }"
plutôt que:
"observable = id ? this.gameService.saveGame(id, gameData) : this.gameService.createGame(gameData)"</t>
  </si>
  <si>
    <t>-0.2 "if (this.boardEditorService.gameMode === GameType.Ctf) {
            return baseAvailableItemTypes.concat([ItemType.Flag]);
        }
        return baseAvailableItemTypes;"
plutôt que "return this.boardEditorService.gameMode === GameType.Ctf ? baseAvailableItemTypes.concat([ItemType.Flag]) : baseAvailableItemTypes;"
-0.2 "if (diceType === DiceSelectionType.D4AttackAndD6Defense) {
            return DiceType.SixSided;
        } else {
            return DiceType.FourSided;
        }" x2 en plus</t>
  </si>
  <si>
    <t>-0.2 final-player-list.component.ts 
"if (this.statOrderService.direction === OrderDirection.Ascending) {
            return 'assets/end/arrow-up.svg';
        } else {
            return 'assets/end/arrow-down.svg';
        }"
-0.2 stat-order.service.ts "if (this.direction === OrderDirection.Ascending) {
            this.direction = OrderDirection.Descending;
        } else {
            this.direction = OrderDirection.Ascending;
        }"
-0.2 "if (!item) {
            return null;
        }
        return ITEM_INFO_BY_TYPE[item.itemType] ?? null;"
-0.2 "if (!(target instanceof HTMLElement)) return false;
    return target.matches('[data-chat-message-input]');"
-0.2 ""if (!activeGame.isDebugMode) {
            attackDiceBonus = this.rollDice(character.attackBonusDiceType);
        } else {
            attackDiceBonus = this.getMaxDice(character.attackBonusDiceType, character.name, activeGame);
        }" et "if (!activeGame.isDebugMode) {
            defenseDiceBonus = this.rollDice(character.defenseBonusDiceType);
        } else {
            defenseDiceBonus = this.getMaxDice(character.defenseBonusDiceType, character.name, activeGame);
        }""</t>
  </si>
  <si>
    <t>6.4 Prédicats</t>
  </si>
  <si>
    <t>L'expression booléenne est simple. (Exemple d'erreur : if(a &amp;&amp; b &amp;&amp; !c || d)
L'expression booléenne utilise un ou des prédicats pour simplifier une condition complexe.</t>
  </si>
  <si>
    <t>-0.25 reachability-validator.service.ts 
"if (
                    newRow &gt;= 0 &amp;&amp;
                    newRow &lt; rows &amp;&amp;
                    newCol &gt;= 0 &amp;&amp;
                    newCol &lt; cols &amp;&amp;
                    !visited[newRow][newCol] &amp;&amp;
                    board.cells[newRow][newCol] !== CellType.Wall
                )"</t>
  </si>
  <si>
    <t>-0.25 "return row &gt;= 0 &amp;&amp; row &lt; rows &amp;&amp; col &gt;= 0 &amp;&amp; col &lt; cols &amp;&amp; !visited[row][col] &amp;&amp; board.cells[row][col] !== CellType.Wall;"</t>
  </si>
  <si>
    <t>-0.25 "if (
            !playerAtPosition &amp;&amp;
            currentPlayer &amp;&amp;
            boardItem &amp;&amp;
            isSanctuaryItem(boardItem) &amp;&amp;
            isSanctuaryActive(boardItem) &amp;&amp;
            isPositionAdjacentToSanctuary(currentPlayer.currentPosition, boardItem)
        )"
-0.25 "return (
        (position.x === sanctuary.x - 1 &amp;&amp; isWithinSanctuaryRows) ||
        (position.x === sanctuary.x + 2 &amp;&amp; isWithinSanctuaryRows) ||
        (position.y === sanctuary.y - 1 &amp;&amp; isWithinSanctuaryColumns) ||
        (position.y === sanctuary.y + 2 &amp;&amp; isWithinSanctuaryColumns)
    );"
,-0.25 "return (
        (position.x === sanctuary.x - 1 &amp;&amp; isWithinSanctuaryRows) ||
        (position.x === sanctuary.x + 2 &amp;&amp; isWithinSanctuaryRows) ||
        (position.y === sanctuary.y - 1 &amp;&amp; isWithinSanctuaryColumns) ||
        (position.y === sanctuary.y + 2 &amp;&amp; isWithinSanctuaryColumns)
    );"
,-0.25 "if (rows === 0 || cols === 0 || rowIndex &lt; 0 || colIndex &lt; 0 || rowIndex + 1 &gt;= rows || colIndex + 1 &gt;= cols)"
-0.25 "return rowIndex &gt;= 0 &amp;&amp; rowIndex &lt; this.gameCells.length &amp;&amp; colIndex &gt;= 0 &amp;&amp; colIndex &lt; (this.gameCells[0]?.length ?? 0);"
-0.25 "return (
        row &gt;= 0 &amp;&amp;
        row &lt; cells.length &amp;&amp;
        col &gt;= 0 &amp;&amp;
        col &lt; cells[0].length &amp;&amp;
        !visited[row][col] &amp;&amp;
        cells[row][col] !== CellType.Wall &amp;&amp;
        !blockedCells.has(getCellKey(row, col))
    );"
,-0.25 "return (
            row &gt;= 0 &amp;&amp;
            row &lt; rows &amp;&amp;
            col &gt;= 0 &amp;&amp;
            col &lt; cols &amp;&amp;
            !visited[row][col] &amp;&amp;
            board.cells[row][col] !== CellType.Wall &amp;&amp;
            !blockedCells.has(`${row},${col}`)
        );"
-0.25 "return (player.fightSanctuaryUsed ?? false) || (player.fightSanctuaryTurnsRemaining ?? 0) &gt; 0 || (player.fightSanctuaryBonus ?? 0) &gt; 0;
    }"</t>
  </si>
  <si>
    <t>7. Qualité générale</t>
  </si>
  <si>
    <t>Beaurel</t>
  </si>
  <si>
    <t>7.1 Langue</t>
  </si>
  <si>
    <t>La langue utilisée pour le code source est uniforme pour tout le code source.
La langue utilisée pour les commentaires doit être uniforme, mais peut être différente que la langue du code source.</t>
  </si>
  <si>
    <t>OK</t>
  </si>
  <si>
    <t>1	-0,2	TEMPS_PREPA_TOUR, TEMPS_TOUR, PRIX_PORTE_GAZON, PRIX_GLACE, PRIX_EAU, TEMPS_ECRAN_FIN_PARTIE vs DEFAULT_PLAYER_LIFE_POINTS, COUNTDOWN_TICK_INTERVAL_MS	constants.ts:22-37
2	-0,2	positionDepart, positionGrille vs currentHealth, attackPoints	character.ts:19-22
3	-0,2	// match "PlayerName - 1234" et capture "PlayerName" et "1234" — commentaire FR dans code EN	active-game.service.ts:118
4	-0,2	baseDix — identifiant FR dans code EN	server.ts:14</t>
  </si>
  <si>
    <t>1) -0,20 TEMPS_PREPA_TOUR, TEMPS_TOUR, PRIX_PORTE_GAZON, PRIX_GLACE, PRIX_EAU, TEMPS_ECRAN_FIN_PARTIE vs DEFAULT_PLAYER_LIFE_POINTS, COUNTDOWN_TICK_INTERVAL_MS — constants.ts:22-37 ; 2) -0,20 positionDepart, positionGrille vs currentHealth, attackPoints — character.ts:19-22 ; 3) -0,20 commentaire FR dans code EN — active-game.service.ts:118 ; 4) -0,20 baseDix — identifiant FR dans code EN — server.ts:14.</t>
  </si>
  <si>
    <t>7.2 Commentaire</t>
  </si>
  <si>
    <t>Le commentaire est pertinent. (Pas de code mort commenté)</t>
  </si>
  <si>
    <t>Ok</t>
  </si>
  <si>
    <t>-0,2	//unique: true, — ligne de code commentée	game.ts:12                                                    -0,2 commentaire inutile dans initialize game-sockets.service.ts:37</t>
  </si>
  <si>
    <t>-0,20 //unique: true, ligne de code commentée — game.ts:12 ; -0,20 commentaire inutile dans initialize — game-sockets.service.ts:37.</t>
  </si>
  <si>
    <t>7.3 Enum</t>
  </si>
  <si>
    <t>Le code utilise des enum lorsque c'est pertinent.</t>
  </si>
  <si>
    <t>-0.2 type Tool = 'placement' | 'objects' | 'erase' un enum devrait être utilisé ici à la place d'un type edition.service.ts                               -0,2	type BonusType = 'life' | 'speed' un enum devrait être utilisé ici à la place d'un type	character.model.ts
-0,2	type DiceSelectionType = 'attack' | 'defense' un enum devrait être utilisé ici à la place d'un type	character.model.ts
-0,2	type DimensionSize = 'small' | 'medium' | 'large' un enum devrait être utilisé ici à la place d'un type	game-creation-dialog.component.ts
-0,2	responseType?: 'json' | 'text' | 'blob' | 'arraybuffer' un enum devrait être utilisé ici à la place d'un type union</t>
  </si>
  <si>
    <t>-0,20	item.itemType !== 'startingPosition' — un enum devrait être utilisé ici (ItemType.StartingPosition existe déjà)	active-game.service.ts:410</t>
  </si>
  <si>
    <t>-0,20 item.itemType !== 'startingPosition' — un enum devrait être utilisé (ItemType.StartingPosition existe) — active-game.service.ts:410.</t>
  </si>
  <si>
    <t>7.4 Classe et interface</t>
  </si>
  <si>
    <t>Le code n'utilise pas d'objets anonymes JS et priorise les classes et les interfaces.</t>
  </si>
  <si>
    <t>-0,2	getExpectedCounts(): { expectedStartingPoints: number; expectedLifeSanctuaries: number; expectedFightSanctuaries: number } | null  une interface devrait être utilisée ici	items-validator.service.ts
-0,2	mapOptions(): { headers?: Record&lt;string, string&gt;; params?: HttpParams; responseType?: 'json'; withCredentials?: boolean; }  une interface devrait être utilisée ici	angular-http-client-adapter.ts
-0,2	dimensionOptions: { value: DimensionSize; label: string; displaySize: string }[] une interface devrait être utilisée ici	game-creation-dialog.component.ts</t>
  </si>
  <si>
    <t>1	-0,20	defenderNewPosition: { x: number; y: number } — l'interface Position existe et devrait être utilisée	attackResult.ts:6
2	-0,20	Promise&lt;{ newPosition: Position; movementLeft: number }&gt; — une interface devrait être utilisée	movement-service.ts:18
3	-0,20	const queue: { pos: Position; costSoFar: number }[] — une interface devrait être utilisée	movement-service.ts:53
4	-0,20	getCurrentPlayer(activeGame: { players: ICharacter[]; currentPlayerIndex: number; turnOrder: string[] }) — une interface devrait être utilisée	turn-service.ts:103
5	-0,20	{ gameId: this.activeGame._id, playerId: playerName } — objet anonyme passé à socket.emit() dans 3 méthodes	active-game.service.ts:262</t>
  </si>
  <si>
    <t>14 × -0,20 (cap -4) — types objets anonymes : attackResult.ts:6 (defenderNewPosition: { x; y }), movement-service.ts:18 et :53 (Promise&lt;{ newPosition: Position; movementLeft: number }&gt; et const queue: { pos: Position; costSoFar: number }[]), turn-service.ts:103 (activeGame: { players: ICharacter[]; currentPlayerIndex: number; turnOrder: string[] }), sanctuary-service.ts:116/139/154/187 (player: { actionsLeft: number } / { currentPosition: Position } / { currentHealth: number; initialHealth: number }), socket-error.ts:4 (return { errorCodes: ErrorCode[] }), debug-socket.service.ts:96 (players: { name: string; hasAbandoned: boolean; currentPosition: Position }[]), socket.service.ts:17 (cors), virtual-player-sanctuary.service.ts:75 + autres signatures. L'interface Position et autres existent.</t>
  </si>
  <si>
    <t>7.5 Duplication</t>
  </si>
  <si>
    <t>Il n'y a pas de duplication de code.</t>
  </si>
  <si>
    <t>-0,2	Duplication de fetchGames() / fetchVisibleGames() (quasi identiques) dans game-table.service.ts passez un parametre                                                                          -0,2    Duplication de type DiceSelectionType = 'attack' | 'defense' dans character.model.ts, dice-selector.component.ts, character-modifier-panel.component.ts, et form-page.component.ts (4 fois)                                                                                                       -0,2	Duplication de la vérification de bornes row &lt; 0 || row &gt;= board.cells.length || col &lt; 0 || col &gt;= board.cells[0].length dans isWall() et isTerrain() de door-validator.service.ts</t>
  </si>
  <si>
    <t>-0,20	getImageForAvatar() identique dans 2 composants	avatar-preview.component.ts + avatar-grid.component.ts</t>
  </si>
  <si>
    <t>-0,20 getImageForAvatar() identique dans avatar-preview.component.ts et avatar-grid.component.ts.</t>
  </si>
  <si>
    <t>7.6 ESLint</t>
  </si>
  <si>
    <t>Il n'y a pas de "eslint:disable" non justifiés dans le code.
L'utilisation limitée de eslint:disable est tolérée dans les fichiers de test (.spec.ts). (Exemple : nombres magiques)</t>
  </si>
  <si>
    <t>7.7 Complexité</t>
  </si>
  <si>
    <t>Le code minimise la complexité cyclomatique. (Exemple : plusieurs if/else ou boucles for imbriqués, opérations complexes, etc.)</t>
  </si>
  <si>
    <t>validateGameData() — complexité cyclomatique élevée (~9, avec 8 branches if enchaînées) Attention</t>
  </si>
  <si>
    <t>-0,2 la fonction intialize dans game-sockets.service,ts très longue vous pouvez decouper en plusieurs fonctions</t>
  </si>
  <si>
    <t>-0,2 — fonctions à complexité cyclomatique élevée (≥12) : agressive-player.service.ts:21 play (22), active-game.controller.ts:22 configureRouter (17), game.controller.ts:27 configureRouter (17), game-interaction.service.ts:49 handleGridCellClick (15), end-game.service.ts:30 checkEndGame (14), door-service.ts toggleDoor (13), debug-socket.service.ts register (13), virtual-player.utilities.ts findClosestReachablePlayer (13), turn-service.ts beginTurn (12), ctf-objective.service.ts handleTurnObjective (12), game-sockets.service.ts initialize (très longue).</t>
  </si>
  <si>
    <t>7.7 Nomenclature des variables, classes et méthodes</t>
  </si>
  <si>
    <t>Les noms des variables, classes et méthodes sont précis et clairs.
Les noms respectent un format unique:  camelCase pour les variables et méthodes, SCREAMING_SNAKE_CASE pour les constantes, etc .
Les noms ne sont pas troncés excessivement. (Exemple: utiliser background au lieu de seulement bg).</t>
  </si>
  <si>
    <t>-0,2	timeout = 4000 (constante utilisée comme valeur fixe)	game-table.component.ts</t>
  </si>
  <si>
    <t xml:space="preserve">
-0,30	V, pq, d, u, v, w — variables tronquées excessivement	dijkstra.ts:6-27</t>
  </si>
  <si>
    <t>-0,40 V, pq, d, u, v, w — variables tronquées excessivement — dijkstra.ts:6-27.</t>
  </si>
  <si>
    <t>7.8 Performance</t>
  </si>
  <si>
    <t>Le logiciel a une performance acceptable.</t>
  </si>
  <si>
    <t>-0.3 Mauvaise performance lors de la correction. Des temps d'attente de plus de 5secondes parfois entre les pages</t>
  </si>
  <si>
    <t>8. Gestion de versions</t>
  </si>
  <si>
    <t>8.1 Tag et remise</t>
  </si>
  <si>
    <t>Le commit de remise possède le bon tag. (sprint1, sprint2, sprint3)</t>
  </si>
  <si>
    <t>8.2 Commits</t>
  </si>
  <si>
    <t>Les commits ont un message pertinent, descriptif et structuré selon une convention quelconque.</t>
  </si>
  <si>
    <t xml:space="preserve"> -0,5 beaucoup de mélange de français et d'anglais dans les commits
-0,5 beaucoup de commit manquent de clarté (efcb0cad,  dba0f1fc, 24b7eaa, fd098155, 57fde642, 4e727ac1, ...)</t>
  </si>
  <si>
    <t xml:space="preserve"> -0,4 messages de commit qui ne sont pas clairs: 
0b2f933  Dev
ec48d59  Hotfix/gitlab
79287fa  Hotfix/gitlab
430a3f2  Hotfix/url
Attention à votre formatage, plusieurs formats de messages de commits</t>
  </si>
  <si>
    <t>8.3 Branches mortes</t>
  </si>
  <si>
    <t xml:space="preserve">Le projet ne contient pas de branches mortes (stale branch). Une branche est considérée comme morte si elle n'a pas de commit pendant plus de 3 semaines. </t>
  </si>
  <si>
    <t>8.4 Gitlab</t>
  </si>
  <si>
    <t>Des Merge Requests sont utilisées pour fusionner vers la branche de production.
Une Merge Request est revue par au moins un membre de l'équipe avant la fusion.
Les Issues sont mis à jour tout au long du projet.</t>
  </si>
  <si>
    <t xml:space="preserve"> -0.25 des MR sont fussionnées mais pas approuvées : !13, !16, !17 et d'autres ont des pipeline qui échouent: !18
-0,25 Des MR sont entre des branches secondaires : !16,!17,!13,!18</t>
  </si>
  <si>
    <t xml:space="preserve"> -0,25 !201 est une MR entre branches secondaires
-0,1 issue #26 et #27 non assignées et non complétées</t>
  </si>
  <si>
    <t>8.5 Fichiers</t>
  </si>
  <si>
    <t>Le projet contient uniquement les fichiers nécessaires. (Exemple: pas de dossier node_modules ou coverage, pas de fichiers package.json à la racine, etc.).</t>
  </si>
  <si>
    <t>Total QA sprint</t>
  </si>
  <si>
    <t>Note QA sprint</t>
  </si>
  <si>
    <t>Grille de correction LOG2995 - Hiver 2026</t>
  </si>
  <si>
    <t>Fonctionnalité</t>
  </si>
  <si>
    <t>Note finale</t>
  </si>
  <si>
    <t>LOG2995-301 — Enregistrement et gestion des jeux (Sprint 1)</t>
  </si>
  <si>
    <t>Vue initiale</t>
  </si>
  <si>
    <t>Vue d'administration</t>
  </si>
  <si>
    <t>Points</t>
  </si>
  <si>
    <t>Enregistrement et gestion des jeux (validation logicielle)</t>
  </si>
  <si>
    <t>la visibilité est pas reset sur modif</t>
  </si>
  <si>
    <t>Stratégie de test</t>
  </si>
  <si>
    <t>-0.3 - Le fichier edition.service.spec.ts est complètement vide, ce qui démontre une lacune dans la planification des tests. Le fichier dans edition-form/ est nommé 'edition-cell.component.spec.ts' au lieu de 'edition-form.component.spec.ts', créant de la confusion. Côté serveur, game.service.spec.ts (650+ lignes, 20+ tests) est excellent avec une validation exhaustive.</t>
  </si>
  <si>
    <t>Vue d'édition</t>
  </si>
  <si>
    <t>on voit les noms mais pas de description</t>
  </si>
  <si>
    <t>Explication des cas limites</t>
  </si>
  <si>
    <t>-0.4 - Côté serveur, les cas limites sont bien documentés (chaînes vides, espaces seuls, longueurs limites, titres dupliqués). Côté client, les noms de tests sont moins explicites — game.service.spec.ts ne décrit pas clairement les cas limites testés. Les commentaires informels ('// good', '// ooof') dans game-table et admin-socket suggèrent un manque de rigueur.</t>
  </si>
  <si>
    <t>Création ou édition d'un jeu</t>
  </si>
  <si>
    <t>Cas limites</t>
  </si>
  <si>
    <t>-0.3 - Bonne couverture serveur (game.service teste titre vide/espaces/trop long, description manquante, mode invalide, board manquant, titre dupliqué, visibilité invalide, jeu inexistant). Côté client, game-table couvre toggleVisibility erreur avec revert et deleteGame erreurs. Cependant, game.service client ne teste pas les IDs invalides/vides et administration.service n'a que 2 tests.</t>
  </si>
  <si>
    <t>Vue de création d'une partie</t>
  </si>
  <si>
    <t>le personnage aléatoire n'attribue pas de bonus 1/3</t>
  </si>
  <si>
    <t>Qualité des tests</t>
  </si>
  <si>
    <t>-0.3 - Le serveur est de bonne qualité : game.controller.spec.ts (18+ tests supertest, tous codes HTTP) et game.service.spec.ts sont excellents. Board.service teste 14 cas de validation de grille. Cependant, edition.service.spec.ts est VIDE, certains tests dans game-edit-form combinent succès et erreur dans un seul 'it', et administration.service est minimal (2 tests seulement).</t>
  </si>
  <si>
    <t>Note finale pour le sprint</t>
  </si>
  <si>
    <t> </t>
  </si>
  <si>
    <t>Pénalités</t>
  </si>
  <si>
    <t>Crash</t>
  </si>
  <si>
    <t>Erreur de build ou de tests</t>
  </si>
  <si>
    <t>Validation Logicielle</t>
  </si>
  <si>
    <t>LOG2995-301 — Joindre une partie</t>
  </si>
  <si>
    <t>Vue d'attente</t>
  </si>
  <si>
    <t>Joindre une partie (validation logicielle)</t>
  </si>
  <si>
    <t>-0.1 - Excellente documentation de stratégie dans join-page et join-form-page (commentaires en en-tête expliquant l'approche d'isolation avec spies et RxJS Subject). Aucun fichier de test serveur pour la fonctionnalité Joindre une partie.</t>
  </si>
  <si>
    <t>-0.2 - Bonne explication des cas limites côté client (stale data, socket update, cleanup onDestroy, missing activeGameId, abandoned players). Pas de documentation serveur.</t>
  </si>
  <si>
    <t>Partie classique - déplacement et tours</t>
  </si>
  <si>
    <t xml:space="preserve">Le point de départ d'un joueur qui abandonne ne disparait pas. Tuiles accessibles affiche les tuiles du dernier tour au début. </t>
  </si>
  <si>
    <t>-0.4 - Seulement 17 tests au total, entièrement côté client (join-page 3 tests, join-form-page 14 tests). Aucun test serveur pour game-sockets.service.ts (JoinGame, LeaveWaitingRoom). Les cas limites client sont bons mais l'absence totale de tests serveur est pénalisante.</t>
  </si>
  <si>
    <t>Mode de débogage</t>
  </si>
  <si>
    <t>-0.3 - Les tests client sont de très haute qualité : mocks isolés (6 services mockés dans join-form-page), noms descriptifs, assertions précises sur les appels de service et les changements d'état. Cependant, aucun test serveur pour la logique de jonction (game-sockets.service) réduit la note.</t>
  </si>
  <si>
    <t>Clavardage</t>
  </si>
  <si>
    <t>On ne voit pas son nom dans l'entête de a zone de message</t>
  </si>
  <si>
    <t>Note /100</t>
  </si>
  <si>
    <t>Si on commence une partie pendant qu'un joueur est en "chargement de vue d'attente" le jeu est brisé</t>
  </si>
  <si>
    <t>Erreur de build ou de tests / déploiement erroné</t>
  </si>
  <si>
    <t>Anciennes fonctionnalités brisées</t>
  </si>
  <si>
    <t>LOG2995-301 — Combats et actions</t>
  </si>
  <si>
    <t>Partie classique - combat et actions (validation logicielle)</t>
  </si>
  <si>
    <t>On peut se déplacer pendant un combat et on peut aussi terminer le tour de cette façon (condition mouvement et action à 0). Faire cela amene dans un état ou on ne peut plus faire d'action</t>
  </si>
  <si>
    <t>Éditeur avancé</t>
  </si>
  <si>
    <t>Joueurs virtuels</t>
  </si>
  <si>
    <t>Partie en mode CTF</t>
  </si>
  <si>
    <t>le comportement des dés en mode debug n'est pas testé de façon isolée et vérifiable (on test le résultat du combat et non les dés)</t>
  </si>
  <si>
    <t>Journal de jeu</t>
  </si>
  <si>
    <t>Vous avez plusieurs fixture dans le même cas de test, cela n'est pas vraiment dans la mentalité de tests unitaires (game-combat-outcome.component.spec.ts)
Attention, certains de vos tests roulent lentement mais ce ne sont pas ceux évalués pour ce sprint</t>
  </si>
  <si>
    <t>Statistiques de fin de partie</t>
  </si>
  <si>
    <t>On ne peut pas correctement trier par victoire ou défaite</t>
  </si>
  <si>
    <t>Note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</si>
</sst>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rgb="FF000000"/>
      <name val="Calibri"/>
      <family val="2"/>
      <charset val="1"/>
    </font>
    <font>
      <sz val="11"/>
      <color theme="1"/>
      <name val="Calibri"/>
      <family val="2"/>
      <scheme val="minor"/>
    </font>
    <font>
      <sz val="11"/>
      <color rgb="FF000000"/>
      <name val="Calibri"/>
      <family val="2"/>
    </font>
    <font>
      <b/>
      <sz val="11"/>
      <color rgb="FF3F3F3F"/>
      <name val="Calibri"/>
      <family val="2"/>
    </font>
    <font>
      <b/>
      <sz val="14"/>
      <color rgb="FF000000"/>
      <name val="Calibri"/>
      <family val="2"/>
      <charset val="1"/>
    </font>
    <font>
      <b/>
      <sz val="14"/>
      <color rgb="FFFFFFFF"/>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b/>
      <sz val="14"/>
      <color rgb="FF000000"/>
      <name val="Calibri"/>
      <family val="2"/>
    </font>
    <font>
      <b/>
      <sz val="18"/>
      <color rgb="FF000000"/>
      <name val="Calibri"/>
      <family val="2"/>
    </font>
    <font>
      <b/>
      <sz val="11"/>
      <color rgb="FF000000"/>
      <name val="Calibri"/>
      <family val="2"/>
    </font>
    <font>
      <sz val="11"/>
      <color rgb="FF000000"/>
      <name val="Calibri"/>
      <family val="2"/>
      <charset val="1"/>
    </font>
    <font>
      <b/>
      <sz val="14"/>
      <color rgb="FFFFFFFF"/>
      <name val="Calibri"/>
      <family val="2"/>
    </font>
    <font>
      <b/>
      <sz val="11"/>
      <name val="Calibri"/>
      <family val="2"/>
    </font>
    <font>
      <b/>
      <sz val="12"/>
      <name val="Calibri"/>
      <family val="2"/>
    </font>
    <font>
      <b/>
      <sz val="14"/>
      <name val="Calibri"/>
      <family val="2"/>
    </font>
    <font>
      <b/>
      <sz val="11"/>
      <color rgb="FF000000"/>
      <name val="Calibri"/>
      <family val="2"/>
      <charset val="1"/>
    </font>
  </fonts>
  <fills count="22">
    <fill>
      <patternFill patternType="none"/>
    </fill>
    <fill>
      <patternFill patternType="gray125"/>
    </fill>
    <fill>
      <patternFill patternType="solid">
        <fgColor rgb="FFF2F2F2"/>
        <bgColor rgb="FFEDEDED"/>
      </patternFill>
    </fill>
    <fill>
      <patternFill patternType="solid">
        <fgColor rgb="FFB4C7E7"/>
        <bgColor rgb="FFB4C6E7"/>
      </patternFill>
    </fill>
    <fill>
      <patternFill patternType="solid">
        <fgColor rgb="FFF8CBAD"/>
        <bgColor rgb="FFFFE699"/>
      </patternFill>
    </fill>
    <fill>
      <patternFill patternType="solid">
        <fgColor rgb="FFDBDBDB"/>
        <bgColor rgb="FFDAE3F3"/>
      </patternFill>
    </fill>
    <fill>
      <patternFill patternType="solid">
        <fgColor rgb="FFE7E6E6"/>
        <bgColor rgb="FFEDEDED"/>
      </patternFill>
    </fill>
    <fill>
      <patternFill patternType="solid">
        <fgColor rgb="FFE2EFDA"/>
        <bgColor rgb="FFE2F0D9"/>
      </patternFill>
    </fill>
    <fill>
      <patternFill patternType="solid">
        <fgColor rgb="FFFFF2CC"/>
        <bgColor rgb="FFF2F2F2"/>
      </patternFill>
    </fill>
    <fill>
      <patternFill patternType="solid">
        <fgColor rgb="FFB4C6E7"/>
        <bgColor rgb="FFB4C7E7"/>
      </patternFill>
    </fill>
    <fill>
      <patternFill patternType="solid">
        <fgColor rgb="FFFFC000"/>
        <bgColor rgb="FFFF9900"/>
      </patternFill>
    </fill>
    <fill>
      <patternFill patternType="solid">
        <fgColor rgb="FFE2F0D9"/>
        <bgColor rgb="FFE2EFDA"/>
      </patternFill>
    </fill>
    <fill>
      <patternFill patternType="solid">
        <fgColor rgb="FFDEEBF7"/>
        <bgColor rgb="FFDAE3F3"/>
      </patternFill>
    </fill>
    <fill>
      <patternFill patternType="solid">
        <fgColor rgb="FFEDEDED"/>
        <bgColor rgb="FFF2F2F2"/>
      </patternFill>
    </fill>
    <fill>
      <patternFill patternType="solid">
        <fgColor rgb="FFC9C9C9"/>
        <bgColor rgb="FFB4C7E7"/>
      </patternFill>
    </fill>
    <fill>
      <patternFill patternType="solid">
        <fgColor rgb="FFDAE3F3"/>
        <bgColor rgb="FFDEEBF7"/>
      </patternFill>
    </fill>
    <fill>
      <patternFill patternType="solid">
        <fgColor rgb="FFC5E0B4"/>
        <bgColor rgb="FFDBDBDB"/>
      </patternFill>
    </fill>
    <fill>
      <patternFill patternType="solid">
        <fgColor rgb="FFFFE699"/>
        <bgColor rgb="FFFFF2CC"/>
      </patternFill>
    </fill>
    <fill>
      <patternFill patternType="solid">
        <fgColor rgb="FFBDD7EE"/>
        <bgColor rgb="FFB4C7E7"/>
      </patternFill>
    </fill>
    <fill>
      <patternFill patternType="solid">
        <fgColor rgb="FF4472C4"/>
        <bgColor rgb="FF4472C4"/>
      </patternFill>
    </fill>
    <fill>
      <patternFill patternType="solid">
        <fgColor rgb="FFD9E2F3"/>
        <bgColor rgb="FFD9E2F3"/>
      </patternFill>
    </fill>
    <fill>
      <patternFill patternType="solid">
        <fgColor rgb="FFE2EFDA"/>
        <bgColor rgb="FFE2EFDA"/>
      </patternFill>
    </fill>
  </fills>
  <borders count="45">
    <border>
      <left/>
      <right/>
      <top/>
      <bottom/>
      <diagonal/>
    </border>
    <border>
      <left style="thin">
        <color rgb="FF3F3F3F"/>
      </left>
      <right style="thin">
        <color rgb="FF3F3F3F"/>
      </right>
      <top style="thin">
        <color rgb="FF3F3F3F"/>
      </top>
      <bottom style="thin">
        <color rgb="FF3F3F3F"/>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style="medium">
        <color auto="1"/>
      </top>
      <bottom/>
      <diagonal/>
    </border>
    <border>
      <left style="medium">
        <color auto="1"/>
      </left>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medium">
        <color auto="1"/>
      </top>
      <bottom style="medium">
        <color auto="1"/>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thin">
        <color auto="1"/>
      </top>
      <bottom style="thin">
        <color auto="1"/>
      </bottom>
      <diagonal/>
    </border>
    <border>
      <left style="thin">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right style="medium">
        <color auto="1"/>
      </right>
      <top style="thin">
        <color auto="1"/>
      </top>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thin">
        <color auto="1"/>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right style="medium">
        <color auto="1"/>
      </right>
      <top/>
      <bottom/>
      <diagonal/>
    </border>
    <border>
      <left style="medium">
        <color auto="1"/>
      </left>
      <right style="medium">
        <color auto="1"/>
      </right>
      <top/>
      <bottom style="medium">
        <color auto="1"/>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7">
    <xf numFmtId="0" fontId="0" fillId="0" borderId="0"/>
    <xf numFmtId="9" fontId="12" fillId="0" borderId="0" applyBorder="0" applyProtection="0"/>
    <xf numFmtId="0" fontId="3" fillId="2" borderId="1" applyProtection="0"/>
    <xf numFmtId="0" fontId="2" fillId="3" borderId="0" applyBorder="0" applyProtection="0"/>
    <xf numFmtId="0" fontId="2" fillId="4" borderId="0" applyBorder="0" applyProtection="0"/>
    <xf numFmtId="0" fontId="2" fillId="5" borderId="0" applyBorder="0" applyProtection="0"/>
    <xf numFmtId="0" fontId="1" fillId="0" borderId="0"/>
  </cellStyleXfs>
  <cellXfs count="286">
    <xf numFmtId="0" fontId="0" fillId="0" borderId="0" xfId="0"/>
    <xf numFmtId="0" fontId="6" fillId="13" borderId="6" xfId="0" applyFont="1" applyFill="1" applyBorder="1" applyAlignment="1">
      <alignment horizontal="left" vertical="center" wrapText="1"/>
    </xf>
    <xf numFmtId="0" fontId="0" fillId="0" borderId="0" xfId="0" applyAlignment="1">
      <alignment horizontal="center" vertical="center"/>
    </xf>
    <xf numFmtId="0" fontId="4" fillId="0" borderId="0" xfId="0" applyFont="1" applyAlignment="1">
      <alignment horizontal="left" vertical="center" wrapText="1"/>
    </xf>
    <xf numFmtId="0" fontId="2" fillId="6" borderId="2" xfId="2" applyFont="1" applyFill="1" applyBorder="1" applyAlignment="1" applyProtection="1">
      <alignment horizontal="center" vertical="center"/>
    </xf>
    <xf numFmtId="0" fontId="2" fillId="6" borderId="2" xfId="2" applyFont="1" applyFill="1" applyBorder="1" applyAlignment="1" applyProtection="1">
      <alignment horizontal="center" vertical="center" wrapText="1"/>
    </xf>
    <xf numFmtId="0" fontId="2" fillId="6" borderId="2" xfId="0" applyFont="1" applyFill="1" applyBorder="1" applyAlignment="1">
      <alignment horizontal="center"/>
    </xf>
    <xf numFmtId="0" fontId="2" fillId="6" borderId="2" xfId="0" applyFont="1" applyFill="1" applyBorder="1"/>
    <xf numFmtId="0" fontId="2" fillId="7" borderId="3" xfId="3" applyFill="1" applyBorder="1" applyAlignment="1" applyProtection="1">
      <alignment horizontal="center" vertical="center"/>
    </xf>
    <xf numFmtId="10" fontId="2" fillId="7" borderId="3" xfId="3" applyNumberFormat="1" applyFill="1" applyBorder="1" applyAlignment="1" applyProtection="1">
      <alignment horizontal="center" vertical="center"/>
    </xf>
    <xf numFmtId="0" fontId="0" fillId="7" borderId="3" xfId="0" applyFill="1" applyBorder="1"/>
    <xf numFmtId="1" fontId="0" fillId="7" borderId="3" xfId="0" applyNumberFormat="1" applyFill="1" applyBorder="1" applyAlignment="1">
      <alignment horizontal="center"/>
    </xf>
    <xf numFmtId="2" fontId="0" fillId="7" borderId="3" xfId="0" applyNumberFormat="1" applyFill="1" applyBorder="1" applyAlignment="1">
      <alignment horizontal="center"/>
    </xf>
    <xf numFmtId="0" fontId="2" fillId="8" borderId="3" xfId="4" applyFill="1" applyBorder="1" applyAlignment="1" applyProtection="1">
      <alignment horizontal="center" vertical="center"/>
    </xf>
    <xf numFmtId="10" fontId="2" fillId="8" borderId="3" xfId="4" applyNumberFormat="1" applyFill="1" applyBorder="1" applyAlignment="1" applyProtection="1">
      <alignment horizontal="center" vertical="center"/>
    </xf>
    <xf numFmtId="0" fontId="0" fillId="8" borderId="3" xfId="0" applyFill="1" applyBorder="1"/>
    <xf numFmtId="1" fontId="0" fillId="8" borderId="3" xfId="0" applyNumberFormat="1" applyFill="1" applyBorder="1" applyAlignment="1">
      <alignment horizontal="center"/>
    </xf>
    <xf numFmtId="2" fontId="0" fillId="8" borderId="3" xfId="0" applyNumberFormat="1" applyFill="1" applyBorder="1" applyAlignment="1">
      <alignment horizontal="center"/>
    </xf>
    <xf numFmtId="0" fontId="2" fillId="9" borderId="3" xfId="5" applyFill="1" applyBorder="1" applyAlignment="1" applyProtection="1">
      <alignment horizontal="center" vertical="center"/>
    </xf>
    <xf numFmtId="10" fontId="2" fillId="9" borderId="3" xfId="5" applyNumberFormat="1" applyFill="1" applyBorder="1" applyAlignment="1" applyProtection="1">
      <alignment horizontal="center" vertical="center"/>
    </xf>
    <xf numFmtId="0" fontId="0" fillId="9" borderId="3" xfId="0" applyFill="1" applyBorder="1"/>
    <xf numFmtId="1" fontId="0" fillId="9" borderId="3" xfId="0" applyNumberFormat="1" applyFill="1" applyBorder="1" applyAlignment="1">
      <alignment horizontal="center"/>
    </xf>
    <xf numFmtId="2" fontId="0" fillId="9" borderId="3" xfId="0" applyNumberFormat="1" applyFill="1" applyBorder="1" applyAlignment="1">
      <alignment horizontal="center"/>
    </xf>
    <xf numFmtId="0" fontId="0" fillId="10" borderId="3" xfId="0" applyFill="1" applyBorder="1" applyAlignment="1">
      <alignment horizontal="center"/>
    </xf>
    <xf numFmtId="10" fontId="0" fillId="10" borderId="3" xfId="0" applyNumberFormat="1" applyFill="1" applyBorder="1" applyAlignment="1">
      <alignment horizontal="center"/>
    </xf>
    <xf numFmtId="0" fontId="0" fillId="10" borderId="3" xfId="0" applyFill="1" applyBorder="1"/>
    <xf numFmtId="2" fontId="0" fillId="10" borderId="3" xfId="0" applyNumberFormat="1" applyFill="1" applyBorder="1" applyAlignment="1">
      <alignment horizontal="center"/>
    </xf>
    <xf numFmtId="0" fontId="0" fillId="0" borderId="0" xfId="0" applyAlignment="1">
      <alignment wrapText="1"/>
    </xf>
    <xf numFmtId="0" fontId="0" fillId="0" borderId="0" xfId="0" applyAlignment="1">
      <alignment horizontal="left" wrapText="1"/>
    </xf>
    <xf numFmtId="0" fontId="4" fillId="0" borderId="0" xfId="0" applyFont="1" applyAlignment="1">
      <alignment vertical="center"/>
    </xf>
    <xf numFmtId="0" fontId="4" fillId="0" borderId="0" xfId="0" applyFont="1" applyAlignment="1">
      <alignment vertical="center" wrapText="1"/>
    </xf>
    <xf numFmtId="0" fontId="4" fillId="0" borderId="4" xfId="0" applyFont="1" applyBorder="1" applyAlignment="1">
      <alignment horizontal="center" vertical="center" wrapText="1"/>
    </xf>
    <xf numFmtId="0" fontId="4" fillId="0" borderId="0" xfId="0" applyFont="1" applyAlignment="1">
      <alignment horizontal="center" vertical="center" wrapText="1"/>
    </xf>
    <xf numFmtId="0" fontId="5" fillId="0" borderId="0" xfId="0" applyFont="1" applyAlignment="1">
      <alignment vertical="center" wrapText="1"/>
    </xf>
    <xf numFmtId="0" fontId="4" fillId="11" borderId="10"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4" fillId="11" borderId="12" xfId="0" applyFont="1" applyFill="1" applyBorder="1" applyAlignment="1">
      <alignment horizontal="left" vertical="center" wrapText="1"/>
    </xf>
    <xf numFmtId="0" fontId="4" fillId="8" borderId="10" xfId="0" applyFont="1" applyFill="1" applyBorder="1" applyAlignment="1">
      <alignment horizontal="center" vertical="center" wrapText="1"/>
    </xf>
    <xf numFmtId="0" fontId="4" fillId="8" borderId="11" xfId="0" applyFont="1" applyFill="1" applyBorder="1" applyAlignment="1">
      <alignment horizontal="center" vertical="center" wrapText="1"/>
    </xf>
    <xf numFmtId="0" fontId="4" fillId="8" borderId="12" xfId="0" applyFont="1" applyFill="1" applyBorder="1" applyAlignment="1">
      <alignment horizontal="left" vertical="center" wrapText="1"/>
    </xf>
    <xf numFmtId="0" fontId="4" fillId="12" borderId="10" xfId="0" applyFont="1" applyFill="1" applyBorder="1" applyAlignment="1">
      <alignment horizontal="center" vertical="center" wrapText="1"/>
    </xf>
    <xf numFmtId="0" fontId="4" fillId="12" borderId="11" xfId="0" applyFont="1" applyFill="1" applyBorder="1" applyAlignment="1">
      <alignment horizontal="center" vertical="center" wrapText="1"/>
    </xf>
    <xf numFmtId="0" fontId="4" fillId="12" borderId="13" xfId="0" applyFont="1" applyFill="1" applyBorder="1" applyAlignment="1">
      <alignment horizontal="left" vertical="center" wrapText="1"/>
    </xf>
    <xf numFmtId="0" fontId="0" fillId="13" borderId="14" xfId="0" applyFill="1" applyBorder="1" applyAlignment="1">
      <alignment vertical="center" wrapText="1"/>
    </xf>
    <xf numFmtId="49" fontId="0" fillId="0" borderId="15" xfId="0" applyNumberFormat="1" applyBorder="1" applyAlignment="1">
      <alignment horizontal="left" vertical="center" wrapText="1"/>
    </xf>
    <xf numFmtId="0" fontId="0" fillId="11" borderId="16" xfId="0" applyFill="1" applyBorder="1" applyAlignment="1">
      <alignment horizontal="center" vertical="center" wrapText="1"/>
    </xf>
    <xf numFmtId="0" fontId="0" fillId="11" borderId="17" xfId="0" applyFill="1" applyBorder="1" applyAlignment="1">
      <alignment horizontal="center" vertical="center" wrapText="1"/>
    </xf>
    <xf numFmtId="0" fontId="0" fillId="11" borderId="17" xfId="0" applyFill="1" applyBorder="1" applyAlignment="1">
      <alignment horizontal="left" vertical="center" wrapText="1"/>
    </xf>
    <xf numFmtId="0" fontId="0" fillId="8" borderId="16" xfId="0" applyFill="1" applyBorder="1" applyAlignment="1">
      <alignment horizontal="center" vertical="center" wrapText="1"/>
    </xf>
    <xf numFmtId="0" fontId="0" fillId="8" borderId="17" xfId="0" applyFill="1" applyBorder="1" applyAlignment="1">
      <alignment horizontal="center" vertical="center" wrapText="1"/>
    </xf>
    <xf numFmtId="0" fontId="0" fillId="8" borderId="17" xfId="0" applyFill="1" applyBorder="1" applyAlignment="1">
      <alignment horizontal="left" vertical="center" wrapText="1"/>
    </xf>
    <xf numFmtId="0" fontId="0" fillId="12" borderId="16" xfId="0" applyFill="1" applyBorder="1" applyAlignment="1">
      <alignment horizontal="center" vertical="center" wrapText="1"/>
    </xf>
    <xf numFmtId="0" fontId="0" fillId="12" borderId="17" xfId="0" applyFill="1" applyBorder="1" applyAlignment="1">
      <alignment horizontal="center" vertical="center" wrapText="1"/>
    </xf>
    <xf numFmtId="0" fontId="0" fillId="12" borderId="18" xfId="0" applyFill="1" applyBorder="1" applyAlignment="1">
      <alignment horizontal="left" vertical="center" wrapText="1"/>
    </xf>
    <xf numFmtId="49" fontId="0" fillId="0" borderId="19" xfId="0" applyNumberFormat="1" applyBorder="1" applyAlignment="1">
      <alignment horizontal="left" vertical="center" wrapText="1"/>
    </xf>
    <xf numFmtId="0" fontId="7" fillId="11" borderId="21" xfId="0" applyFont="1" applyFill="1" applyBorder="1" applyAlignment="1">
      <alignment horizontal="center" vertical="center" wrapText="1"/>
    </xf>
    <xf numFmtId="0" fontId="7" fillId="11" borderId="22" xfId="0" applyFont="1" applyFill="1" applyBorder="1" applyAlignment="1">
      <alignment horizontal="center" vertical="center" wrapText="1"/>
    </xf>
    <xf numFmtId="0" fontId="7" fillId="11" borderId="23" xfId="0" applyFont="1" applyFill="1" applyBorder="1" applyAlignment="1">
      <alignment horizontal="left" vertical="center" wrapText="1"/>
    </xf>
    <xf numFmtId="0" fontId="7" fillId="8" borderId="21" xfId="0" applyFont="1" applyFill="1" applyBorder="1" applyAlignment="1">
      <alignment horizontal="center" vertical="center" wrapText="1"/>
    </xf>
    <xf numFmtId="0" fontId="7" fillId="8" borderId="22" xfId="0" applyFont="1" applyFill="1" applyBorder="1" applyAlignment="1">
      <alignment horizontal="center" vertical="center" wrapText="1"/>
    </xf>
    <xf numFmtId="0" fontId="7" fillId="8" borderId="23" xfId="0" applyFont="1" applyFill="1" applyBorder="1" applyAlignment="1">
      <alignment horizontal="left" vertical="center" wrapText="1"/>
    </xf>
    <xf numFmtId="0" fontId="7" fillId="12" borderId="21" xfId="0" applyFont="1" applyFill="1" applyBorder="1" applyAlignment="1">
      <alignment horizontal="center" vertical="center" wrapText="1"/>
    </xf>
    <xf numFmtId="0" fontId="7" fillId="12" borderId="22" xfId="0" applyFont="1" applyFill="1" applyBorder="1" applyAlignment="1">
      <alignment horizontal="center" vertical="center" wrapText="1"/>
    </xf>
    <xf numFmtId="0" fontId="7" fillId="12" borderId="23" xfId="0" applyFont="1" applyFill="1" applyBorder="1" applyAlignment="1">
      <alignment horizontal="left" vertical="center" wrapText="1"/>
    </xf>
    <xf numFmtId="0" fontId="7" fillId="0" borderId="0" xfId="0" applyFont="1" applyAlignment="1">
      <alignment horizontal="center" vertical="center" wrapText="1"/>
    </xf>
    <xf numFmtId="0" fontId="7" fillId="0" borderId="0" xfId="0" applyFont="1"/>
    <xf numFmtId="0" fontId="6" fillId="0" borderId="0" xfId="0" applyFont="1"/>
    <xf numFmtId="0" fontId="0" fillId="11" borderId="24" xfId="0" applyFill="1" applyBorder="1" applyAlignment="1">
      <alignment horizontal="center" vertical="center" wrapText="1"/>
    </xf>
    <xf numFmtId="0" fontId="0" fillId="11" borderId="15" xfId="0" applyFill="1" applyBorder="1" applyAlignment="1">
      <alignment horizontal="center" vertical="center" wrapText="1"/>
    </xf>
    <xf numFmtId="0" fontId="0" fillId="11" borderId="25" xfId="0" applyFill="1" applyBorder="1" applyAlignment="1">
      <alignment horizontal="left" vertical="center" wrapText="1"/>
    </xf>
    <xf numFmtId="0" fontId="0" fillId="8" borderId="24" xfId="0" applyFill="1" applyBorder="1" applyAlignment="1">
      <alignment horizontal="center" vertical="center" wrapText="1"/>
    </xf>
    <xf numFmtId="0" fontId="0" fillId="8" borderId="15" xfId="0" applyFill="1" applyBorder="1" applyAlignment="1">
      <alignment horizontal="center" vertical="center" wrapText="1"/>
    </xf>
    <xf numFmtId="0" fontId="0" fillId="12" borderId="24" xfId="0" applyFill="1" applyBorder="1" applyAlignment="1">
      <alignment horizontal="center" vertical="center" wrapText="1"/>
    </xf>
    <xf numFmtId="0" fontId="0" fillId="12" borderId="15" xfId="0" applyFill="1" applyBorder="1" applyAlignment="1">
      <alignment horizontal="center" vertical="center" wrapText="1"/>
    </xf>
    <xf numFmtId="0" fontId="0" fillId="12" borderId="25" xfId="0" applyFill="1" applyBorder="1" applyAlignment="1">
      <alignment horizontal="left" vertical="center" wrapText="1"/>
    </xf>
    <xf numFmtId="0" fontId="0" fillId="0" borderId="0" xfId="0" applyAlignment="1">
      <alignment horizontal="center" vertical="center" wrapText="1"/>
    </xf>
    <xf numFmtId="0" fontId="0" fillId="11" borderId="26" xfId="0" applyFill="1" applyBorder="1" applyAlignment="1">
      <alignment horizontal="center" vertical="center" wrapText="1"/>
    </xf>
    <xf numFmtId="0" fontId="0" fillId="11" borderId="19" xfId="0" applyFill="1" applyBorder="1" applyAlignment="1">
      <alignment horizontal="center" vertical="center" wrapText="1"/>
    </xf>
    <xf numFmtId="0" fontId="0" fillId="11" borderId="27" xfId="0" applyFill="1" applyBorder="1" applyAlignment="1">
      <alignment horizontal="left" vertical="center" wrapText="1"/>
    </xf>
    <xf numFmtId="0" fontId="0" fillId="8" borderId="26" xfId="0" applyFill="1" applyBorder="1" applyAlignment="1">
      <alignment horizontal="center" vertical="center" wrapText="1"/>
    </xf>
    <xf numFmtId="0" fontId="0" fillId="8" borderId="27" xfId="0" applyFill="1" applyBorder="1" applyAlignment="1">
      <alignment horizontal="left" vertical="center" wrapText="1"/>
    </xf>
    <xf numFmtId="0" fontId="0" fillId="12" borderId="26" xfId="0" applyFill="1" applyBorder="1" applyAlignment="1">
      <alignment horizontal="center" vertical="center" wrapText="1"/>
    </xf>
    <xf numFmtId="0" fontId="0" fillId="12" borderId="27" xfId="0" applyFill="1" applyBorder="1" applyAlignment="1">
      <alignment horizontal="left" vertical="center" wrapText="1"/>
    </xf>
    <xf numFmtId="0" fontId="0" fillId="8" borderId="19" xfId="0" applyFill="1" applyBorder="1" applyAlignment="1">
      <alignment horizontal="center" vertical="center" wrapText="1"/>
    </xf>
    <xf numFmtId="0" fontId="0" fillId="12" borderId="19" xfId="0" applyFill="1" applyBorder="1" applyAlignment="1">
      <alignment horizontal="center" vertical="center" wrapText="1"/>
    </xf>
    <xf numFmtId="0" fontId="7" fillId="11" borderId="28" xfId="0" applyFont="1" applyFill="1" applyBorder="1" applyAlignment="1">
      <alignment horizontal="center" vertical="center" wrapText="1"/>
    </xf>
    <xf numFmtId="0" fontId="7" fillId="11" borderId="29" xfId="0" applyFont="1" applyFill="1" applyBorder="1" applyAlignment="1">
      <alignment horizontal="center" vertical="center" wrapText="1"/>
    </xf>
    <xf numFmtId="0" fontId="7" fillId="11" borderId="30" xfId="0" applyFont="1" applyFill="1" applyBorder="1" applyAlignment="1">
      <alignment horizontal="left" vertical="center" wrapText="1"/>
    </xf>
    <xf numFmtId="0" fontId="7" fillId="8" borderId="28" xfId="0" applyFont="1" applyFill="1" applyBorder="1" applyAlignment="1">
      <alignment horizontal="center" vertical="center" wrapText="1"/>
    </xf>
    <xf numFmtId="0" fontId="7" fillId="8" borderId="29" xfId="0" applyFont="1" applyFill="1" applyBorder="1" applyAlignment="1">
      <alignment horizontal="center" vertical="center" wrapText="1"/>
    </xf>
    <xf numFmtId="0" fontId="7" fillId="8" borderId="30" xfId="0" applyFont="1" applyFill="1" applyBorder="1" applyAlignment="1">
      <alignment horizontal="left" vertical="center" wrapText="1"/>
    </xf>
    <xf numFmtId="0" fontId="7" fillId="12" borderId="28" xfId="0" applyFont="1" applyFill="1" applyBorder="1" applyAlignment="1">
      <alignment horizontal="center" vertical="center" wrapText="1"/>
    </xf>
    <xf numFmtId="0" fontId="7" fillId="12" borderId="29" xfId="0" applyFont="1" applyFill="1" applyBorder="1" applyAlignment="1">
      <alignment horizontal="center" vertical="center" wrapText="1"/>
    </xf>
    <xf numFmtId="0" fontId="7" fillId="12" borderId="30" xfId="0" applyFont="1" applyFill="1" applyBorder="1" applyAlignment="1">
      <alignment horizontal="left" vertical="center" wrapText="1"/>
    </xf>
    <xf numFmtId="0" fontId="6" fillId="13" borderId="6" xfId="0" applyFont="1" applyFill="1" applyBorder="1" applyAlignment="1">
      <alignment vertical="center"/>
    </xf>
    <xf numFmtId="49" fontId="0" fillId="0" borderId="31" xfId="0" applyNumberFormat="1" applyBorder="1" applyAlignment="1">
      <alignment horizontal="left" vertical="center" wrapText="1"/>
    </xf>
    <xf numFmtId="0" fontId="0" fillId="11" borderId="8" xfId="0" applyFill="1" applyBorder="1" applyAlignment="1">
      <alignment horizontal="center" vertical="center" wrapText="1"/>
    </xf>
    <xf numFmtId="0" fontId="0" fillId="11" borderId="31" xfId="0" applyFill="1" applyBorder="1" applyAlignment="1">
      <alignment horizontal="center" vertical="center" wrapText="1"/>
    </xf>
    <xf numFmtId="0" fontId="0" fillId="11" borderId="32" xfId="0" applyFill="1" applyBorder="1" applyAlignment="1">
      <alignment horizontal="left" vertical="center" wrapText="1"/>
    </xf>
    <xf numFmtId="0" fontId="0" fillId="8" borderId="8" xfId="0" applyFill="1" applyBorder="1" applyAlignment="1">
      <alignment horizontal="center" vertical="center" wrapText="1"/>
    </xf>
    <xf numFmtId="0" fontId="0" fillId="8" borderId="31" xfId="0" applyFill="1" applyBorder="1" applyAlignment="1">
      <alignment horizontal="center" vertical="center" wrapText="1"/>
    </xf>
    <xf numFmtId="0" fontId="0" fillId="8" borderId="32" xfId="0" applyFill="1" applyBorder="1" applyAlignment="1">
      <alignment horizontal="left" vertical="center" wrapText="1"/>
    </xf>
    <xf numFmtId="0" fontId="0" fillId="12" borderId="8" xfId="0" applyFill="1" applyBorder="1" applyAlignment="1">
      <alignment horizontal="center" vertical="center" wrapText="1"/>
    </xf>
    <xf numFmtId="0" fontId="0" fillId="12" borderId="31" xfId="0" applyFill="1" applyBorder="1" applyAlignment="1">
      <alignment horizontal="center" vertical="center" wrapText="1"/>
    </xf>
    <xf numFmtId="0" fontId="0" fillId="12" borderId="32" xfId="0" applyFill="1" applyBorder="1" applyAlignment="1">
      <alignment horizontal="left" vertical="center" wrapText="1"/>
    </xf>
    <xf numFmtId="0" fontId="0" fillId="13" borderId="6" xfId="0" applyFill="1" applyBorder="1" applyAlignment="1">
      <alignment vertical="center" wrapText="1"/>
    </xf>
    <xf numFmtId="0" fontId="8" fillId="0" borderId="0" xfId="0" applyFont="1"/>
    <xf numFmtId="49" fontId="0" fillId="0" borderId="15" xfId="0" applyNumberFormat="1" applyBorder="1" applyAlignment="1">
      <alignment vertical="center" wrapText="1"/>
    </xf>
    <xf numFmtId="0" fontId="0" fillId="8" borderId="15" xfId="0" applyFill="1" applyBorder="1" applyAlignment="1">
      <alignment horizontal="left" vertical="center" wrapText="1"/>
    </xf>
    <xf numFmtId="49" fontId="0" fillId="0" borderId="19" xfId="0" applyNumberFormat="1" applyBorder="1" applyAlignment="1">
      <alignment vertical="center" wrapText="1"/>
    </xf>
    <xf numFmtId="0" fontId="0" fillId="8" borderId="19" xfId="0" applyFill="1" applyBorder="1" applyAlignment="1">
      <alignment horizontal="left" vertical="center" wrapText="1"/>
    </xf>
    <xf numFmtId="0" fontId="7" fillId="8" borderId="22" xfId="0" applyFont="1" applyFill="1" applyBorder="1" applyAlignment="1">
      <alignment horizontal="left" vertical="center" wrapText="1"/>
    </xf>
    <xf numFmtId="0" fontId="0" fillId="13" borderId="5" xfId="0" applyFill="1" applyBorder="1" applyAlignment="1">
      <alignment vertical="center"/>
    </xf>
    <xf numFmtId="0" fontId="4" fillId="0" borderId="0" xfId="0" applyFont="1"/>
    <xf numFmtId="49" fontId="7" fillId="11" borderId="21" xfId="0" applyNumberFormat="1" applyFont="1" applyFill="1" applyBorder="1" applyAlignment="1">
      <alignment horizontal="center" vertical="center" wrapText="1"/>
    </xf>
    <xf numFmtId="49" fontId="7" fillId="8" borderId="21" xfId="0" applyNumberFormat="1" applyFont="1" applyFill="1" applyBorder="1" applyAlignment="1">
      <alignment horizontal="center" vertical="center" wrapText="1"/>
    </xf>
    <xf numFmtId="49" fontId="0" fillId="0" borderId="34" xfId="0" applyNumberFormat="1" applyBorder="1" applyAlignment="1">
      <alignment horizontal="left" vertical="center" wrapText="1"/>
    </xf>
    <xf numFmtId="49" fontId="7" fillId="11" borderId="28" xfId="0" applyNumberFormat="1" applyFont="1" applyFill="1" applyBorder="1" applyAlignment="1">
      <alignment horizontal="center" vertical="center" wrapText="1"/>
    </xf>
    <xf numFmtId="49" fontId="0" fillId="0" borderId="0" xfId="0" applyNumberFormat="1" applyAlignment="1">
      <alignment horizontal="center" vertical="center" wrapText="1"/>
    </xf>
    <xf numFmtId="49" fontId="0" fillId="11" borderId="8" xfId="0" applyNumberFormat="1" applyFill="1" applyBorder="1" applyAlignment="1">
      <alignment horizontal="center" vertical="center" wrapText="1"/>
    </xf>
    <xf numFmtId="49" fontId="0" fillId="8" borderId="8" xfId="0" applyNumberFormat="1" applyFill="1" applyBorder="1" applyAlignment="1">
      <alignment horizontal="center" vertical="center" wrapText="1"/>
    </xf>
    <xf numFmtId="0" fontId="0" fillId="15" borderId="8" xfId="0" applyFill="1" applyBorder="1" applyAlignment="1">
      <alignment horizontal="center" vertical="center" wrapText="1"/>
    </xf>
    <xf numFmtId="0" fontId="0" fillId="15" borderId="31" xfId="0" applyFill="1" applyBorder="1" applyAlignment="1">
      <alignment horizontal="center" vertical="center" wrapText="1"/>
    </xf>
    <xf numFmtId="0" fontId="0" fillId="15" borderId="32" xfId="0" applyFill="1" applyBorder="1" applyAlignment="1">
      <alignment horizontal="left" vertical="center" wrapText="1"/>
    </xf>
    <xf numFmtId="9" fontId="7" fillId="0" borderId="0" xfId="1" applyFont="1" applyBorder="1" applyAlignment="1" applyProtection="1">
      <alignment vertical="center" wrapText="1"/>
    </xf>
    <xf numFmtId="0" fontId="0" fillId="0" borderId="0" xfId="0" applyAlignment="1">
      <alignment horizontal="left"/>
    </xf>
    <xf numFmtId="0" fontId="0" fillId="0" borderId="0" xfId="0" applyAlignment="1">
      <alignment horizontal="left" vertical="center"/>
    </xf>
    <xf numFmtId="2" fontId="0" fillId="0" borderId="0" xfId="0" applyNumberFormat="1" applyAlignment="1">
      <alignment horizontal="left" vertical="center"/>
    </xf>
    <xf numFmtId="0" fontId="9" fillId="0" borderId="0" xfId="0" applyFont="1" applyAlignment="1">
      <alignment horizontal="left" vertical="center"/>
    </xf>
    <xf numFmtId="0" fontId="11" fillId="16" borderId="36" xfId="0" applyFont="1" applyFill="1" applyBorder="1" applyAlignment="1">
      <alignment horizontal="left" vertical="center" wrapText="1"/>
    </xf>
    <xf numFmtId="0" fontId="11" fillId="16" borderId="3" xfId="0" applyFont="1" applyFill="1" applyBorder="1" applyAlignment="1">
      <alignment horizontal="left" vertical="center"/>
    </xf>
    <xf numFmtId="0" fontId="2" fillId="11" borderId="26" xfId="0" applyFont="1" applyFill="1" applyBorder="1" applyAlignment="1">
      <alignment horizontal="left" vertical="center"/>
    </xf>
    <xf numFmtId="0" fontId="2" fillId="11" borderId="19" xfId="0" applyFont="1" applyFill="1" applyBorder="1" applyAlignment="1">
      <alignment horizontal="left" vertical="center"/>
    </xf>
    <xf numFmtId="0" fontId="2" fillId="16" borderId="26" xfId="0" applyFont="1" applyFill="1" applyBorder="1" applyAlignment="1">
      <alignment horizontal="left" vertical="center"/>
    </xf>
    <xf numFmtId="0" fontId="2" fillId="16" borderId="19" xfId="0" applyFont="1" applyFill="1" applyBorder="1" applyAlignment="1">
      <alignment horizontal="left" vertical="center"/>
    </xf>
    <xf numFmtId="0" fontId="11" fillId="11" borderId="26" xfId="0" applyFont="1" applyFill="1" applyBorder="1" applyAlignment="1">
      <alignment horizontal="left" vertical="center"/>
    </xf>
    <xf numFmtId="0" fontId="11" fillId="11" borderId="5" xfId="0" applyFont="1" applyFill="1" applyBorder="1" applyAlignment="1">
      <alignment horizontal="left" vertical="center"/>
    </xf>
    <xf numFmtId="0" fontId="11" fillId="11" borderId="6" xfId="0" applyFont="1" applyFill="1" applyBorder="1" applyAlignment="1">
      <alignment horizontal="left" vertical="center"/>
    </xf>
    <xf numFmtId="10" fontId="11" fillId="11" borderId="6" xfId="0" applyNumberFormat="1" applyFont="1" applyFill="1" applyBorder="1" applyAlignment="1">
      <alignment horizontal="left" vertical="center"/>
    </xf>
    <xf numFmtId="0" fontId="11" fillId="11" borderId="38" xfId="0" applyFont="1" applyFill="1" applyBorder="1" applyAlignment="1">
      <alignment horizontal="left" vertical="center"/>
    </xf>
    <xf numFmtId="0" fontId="11" fillId="11" borderId="39" xfId="0" applyFont="1" applyFill="1" applyBorder="1" applyAlignment="1">
      <alignment horizontal="left" vertical="center"/>
    </xf>
    <xf numFmtId="10" fontId="11" fillId="11" borderId="39" xfId="0" applyNumberFormat="1" applyFont="1" applyFill="1" applyBorder="1" applyAlignment="1">
      <alignment horizontal="left" vertical="center"/>
    </xf>
    <xf numFmtId="0" fontId="2" fillId="16" borderId="24" xfId="0" applyFont="1" applyFill="1" applyBorder="1" applyAlignment="1">
      <alignment horizontal="left" vertical="center"/>
    </xf>
    <xf numFmtId="0" fontId="2" fillId="16" borderId="15" xfId="0" applyFont="1" applyFill="1" applyBorder="1" applyAlignment="1">
      <alignment horizontal="left"/>
    </xf>
    <xf numFmtId="1" fontId="2" fillId="16" borderId="15" xfId="0" applyNumberFormat="1" applyFont="1" applyFill="1" applyBorder="1" applyAlignment="1">
      <alignment horizontal="left"/>
    </xf>
    <xf numFmtId="0" fontId="2" fillId="11" borderId="28" xfId="0" applyFont="1" applyFill="1" applyBorder="1" applyAlignment="1">
      <alignment horizontal="left" vertical="center"/>
    </xf>
    <xf numFmtId="0" fontId="2" fillId="11" borderId="29" xfId="0" applyFont="1" applyFill="1" applyBorder="1" applyAlignment="1">
      <alignment horizontal="left"/>
    </xf>
    <xf numFmtId="1" fontId="2" fillId="11" borderId="29" xfId="0" applyNumberFormat="1" applyFont="1" applyFill="1" applyBorder="1" applyAlignment="1">
      <alignment horizontal="left"/>
    </xf>
    <xf numFmtId="0" fontId="11" fillId="16" borderId="5" xfId="0" applyFont="1" applyFill="1" applyBorder="1" applyAlignment="1">
      <alignment horizontal="left" vertical="center"/>
    </xf>
    <xf numFmtId="0" fontId="2" fillId="16" borderId="6" xfId="0" applyFont="1" applyFill="1" applyBorder="1" applyAlignment="1">
      <alignment horizontal="left"/>
    </xf>
    <xf numFmtId="1" fontId="2" fillId="16" borderId="6" xfId="0" applyNumberFormat="1" applyFont="1" applyFill="1" applyBorder="1" applyAlignment="1">
      <alignment horizontal="left"/>
    </xf>
    <xf numFmtId="10" fontId="2" fillId="16" borderId="6" xfId="0" applyNumberFormat="1" applyFont="1" applyFill="1" applyBorder="1" applyAlignment="1">
      <alignment horizontal="left"/>
    </xf>
    <xf numFmtId="0" fontId="11" fillId="0" borderId="4" xfId="0" applyFont="1" applyBorder="1" applyAlignment="1">
      <alignment horizontal="left" vertical="center"/>
    </xf>
    <xf numFmtId="0" fontId="2" fillId="0" borderId="0" xfId="0" applyFont="1" applyAlignment="1">
      <alignment horizontal="left"/>
    </xf>
    <xf numFmtId="1" fontId="2" fillId="0" borderId="0" xfId="0" applyNumberFormat="1" applyFont="1" applyAlignment="1">
      <alignment horizontal="left"/>
    </xf>
    <xf numFmtId="10" fontId="2" fillId="0" borderId="0" xfId="0" applyNumberFormat="1" applyFont="1" applyAlignment="1">
      <alignment horizontal="left"/>
    </xf>
    <xf numFmtId="0" fontId="11" fillId="17" borderId="36" xfId="0" applyFont="1" applyFill="1" applyBorder="1" applyAlignment="1">
      <alignment horizontal="left" vertical="center" wrapText="1"/>
    </xf>
    <xf numFmtId="0" fontId="11" fillId="17" borderId="3" xfId="0" applyFont="1" applyFill="1" applyBorder="1" applyAlignment="1">
      <alignment horizontal="left" vertical="center" wrapText="1"/>
    </xf>
    <xf numFmtId="0" fontId="11" fillId="17" borderId="34" xfId="0" applyFont="1" applyFill="1" applyBorder="1" applyAlignment="1">
      <alignment horizontal="left" vertical="center" wrapText="1"/>
    </xf>
    <xf numFmtId="0" fontId="2" fillId="8" borderId="26" xfId="0" applyFont="1" applyFill="1" applyBorder="1" applyAlignment="1">
      <alignment horizontal="left" vertical="center" wrapText="1"/>
    </xf>
    <xf numFmtId="0" fontId="2" fillId="8" borderId="19" xfId="0" applyFont="1" applyFill="1" applyBorder="1" applyAlignment="1">
      <alignment horizontal="left" vertical="center" wrapText="1"/>
    </xf>
    <xf numFmtId="0" fontId="11" fillId="17" borderId="26" xfId="0" applyFont="1" applyFill="1" applyBorder="1" applyAlignment="1">
      <alignment horizontal="left" vertical="center" wrapText="1"/>
    </xf>
    <xf numFmtId="0" fontId="2" fillId="17" borderId="19" xfId="0" applyFont="1" applyFill="1" applyBorder="1" applyAlignment="1">
      <alignment horizontal="left" vertical="center" wrapText="1"/>
    </xf>
    <xf numFmtId="0" fontId="2" fillId="17" borderId="27" xfId="0" applyFont="1" applyFill="1" applyBorder="1" applyAlignment="1">
      <alignment horizontal="left" vertical="center" wrapText="1"/>
    </xf>
    <xf numFmtId="0" fontId="2" fillId="17" borderId="26" xfId="0" applyFont="1" applyFill="1" applyBorder="1" applyAlignment="1">
      <alignment horizontal="left" vertical="center" wrapText="1"/>
    </xf>
    <xf numFmtId="0" fontId="11" fillId="8" borderId="5" xfId="0" applyFont="1" applyFill="1" applyBorder="1" applyAlignment="1">
      <alignment horizontal="left" vertical="center" wrapText="1"/>
    </xf>
    <xf numFmtId="0" fontId="11" fillId="8" borderId="6" xfId="0" applyFont="1" applyFill="1" applyBorder="1" applyAlignment="1">
      <alignment horizontal="left" vertical="center" wrapText="1"/>
    </xf>
    <xf numFmtId="10" fontId="11" fillId="8" borderId="6" xfId="1" applyNumberFormat="1" applyFont="1" applyFill="1" applyBorder="1" applyAlignment="1" applyProtection="1">
      <alignment horizontal="left" vertical="center" wrapText="1"/>
    </xf>
    <xf numFmtId="0" fontId="11" fillId="8" borderId="38" xfId="0" applyFont="1" applyFill="1" applyBorder="1" applyAlignment="1">
      <alignment horizontal="left" vertical="center" wrapText="1"/>
    </xf>
    <xf numFmtId="0" fontId="11" fillId="8" borderId="39" xfId="0" applyFont="1" applyFill="1" applyBorder="1" applyAlignment="1">
      <alignment horizontal="left" vertical="center" wrapText="1"/>
    </xf>
    <xf numFmtId="10" fontId="11" fillId="8" borderId="39" xfId="1" applyNumberFormat="1" applyFont="1" applyFill="1" applyBorder="1" applyAlignment="1" applyProtection="1">
      <alignment horizontal="left" vertical="center" wrapText="1"/>
    </xf>
    <xf numFmtId="0" fontId="2" fillId="17" borderId="24" xfId="0" applyFont="1" applyFill="1" applyBorder="1" applyAlignment="1">
      <alignment horizontal="left" vertical="center" wrapText="1"/>
    </xf>
    <xf numFmtId="0" fontId="2" fillId="17" borderId="15" xfId="0" applyFont="1" applyFill="1" applyBorder="1" applyAlignment="1">
      <alignment horizontal="left"/>
    </xf>
    <xf numFmtId="1" fontId="2" fillId="17" borderId="15" xfId="0" applyNumberFormat="1" applyFont="1" applyFill="1" applyBorder="1" applyAlignment="1">
      <alignment horizontal="left" vertical="center" wrapText="1"/>
    </xf>
    <xf numFmtId="0" fontId="2" fillId="8" borderId="19" xfId="0" applyFont="1" applyFill="1" applyBorder="1" applyAlignment="1">
      <alignment horizontal="left"/>
    </xf>
    <xf numFmtId="1" fontId="2" fillId="8" borderId="19" xfId="0" applyNumberFormat="1" applyFont="1" applyFill="1" applyBorder="1" applyAlignment="1">
      <alignment horizontal="left"/>
    </xf>
    <xf numFmtId="0" fontId="2" fillId="17" borderId="21" xfId="0" applyFont="1" applyFill="1" applyBorder="1" applyAlignment="1">
      <alignment horizontal="left" vertical="center" wrapText="1"/>
    </xf>
    <xf numFmtId="0" fontId="2" fillId="17" borderId="22" xfId="0" applyFont="1" applyFill="1" applyBorder="1" applyAlignment="1">
      <alignment horizontal="left"/>
    </xf>
    <xf numFmtId="1" fontId="2" fillId="17" borderId="22" xfId="0" applyNumberFormat="1" applyFont="1" applyFill="1" applyBorder="1" applyAlignment="1">
      <alignment horizontal="left" vertical="center"/>
    </xf>
    <xf numFmtId="0" fontId="11" fillId="8" borderId="16" xfId="0" applyFont="1" applyFill="1" applyBorder="1" applyAlignment="1">
      <alignment horizontal="left" vertical="center" wrapText="1"/>
    </xf>
    <xf numFmtId="0" fontId="2" fillId="8" borderId="17" xfId="0" applyFont="1" applyFill="1" applyBorder="1" applyAlignment="1">
      <alignment horizontal="left"/>
    </xf>
    <xf numFmtId="1" fontId="2" fillId="8" borderId="17" xfId="0" applyNumberFormat="1" applyFont="1" applyFill="1" applyBorder="1" applyAlignment="1">
      <alignment horizontal="left" vertical="center"/>
    </xf>
    <xf numFmtId="10" fontId="2" fillId="8" borderId="17" xfId="0" applyNumberFormat="1" applyFont="1" applyFill="1" applyBorder="1" applyAlignment="1">
      <alignment horizontal="left"/>
    </xf>
    <xf numFmtId="0" fontId="2" fillId="0" borderId="16" xfId="0" applyFont="1" applyBorder="1" applyAlignment="1">
      <alignment horizontal="left" vertical="center" wrapText="1"/>
    </xf>
    <xf numFmtId="0" fontId="2" fillId="0" borderId="17" xfId="0" applyFont="1" applyBorder="1" applyAlignment="1">
      <alignment horizontal="left"/>
    </xf>
    <xf numFmtId="1" fontId="2" fillId="0" borderId="17" xfId="0" applyNumberFormat="1" applyFont="1" applyBorder="1" applyAlignment="1">
      <alignment horizontal="left" vertical="center"/>
    </xf>
    <xf numFmtId="0" fontId="11" fillId="18" borderId="36" xfId="0" applyFont="1" applyFill="1" applyBorder="1" applyAlignment="1">
      <alignment horizontal="left" vertical="center"/>
    </xf>
    <xf numFmtId="0" fontId="11" fillId="18" borderId="3" xfId="0" applyFont="1" applyFill="1" applyBorder="1" applyAlignment="1">
      <alignment horizontal="left" vertical="center"/>
    </xf>
    <xf numFmtId="0" fontId="11" fillId="12" borderId="26" xfId="0" applyFont="1" applyFill="1" applyBorder="1" applyAlignment="1">
      <alignment horizontal="left" vertical="center"/>
    </xf>
    <xf numFmtId="0" fontId="2" fillId="12" borderId="19" xfId="0" applyFont="1" applyFill="1" applyBorder="1" applyAlignment="1">
      <alignment horizontal="left" vertical="center"/>
    </xf>
    <xf numFmtId="0" fontId="2" fillId="12" borderId="27" xfId="0" applyFont="1" applyFill="1" applyBorder="1" applyAlignment="1">
      <alignment horizontal="left" vertical="center" wrapText="1"/>
    </xf>
    <xf numFmtId="0" fontId="2" fillId="18" borderId="26" xfId="0" applyFont="1" applyFill="1" applyBorder="1" applyAlignment="1">
      <alignment horizontal="left" vertical="center"/>
    </xf>
    <xf numFmtId="0" fontId="2" fillId="18" borderId="19" xfId="0" applyFont="1" applyFill="1" applyBorder="1" applyAlignment="1">
      <alignment horizontal="left" vertical="center"/>
    </xf>
    <xf numFmtId="0" fontId="2" fillId="12" borderId="26" xfId="0" applyFont="1" applyFill="1" applyBorder="1" applyAlignment="1">
      <alignment horizontal="left" vertical="center"/>
    </xf>
    <xf numFmtId="0" fontId="11" fillId="12" borderId="5" xfId="0" applyFont="1" applyFill="1" applyBorder="1" applyAlignment="1">
      <alignment horizontal="left" vertical="center"/>
    </xf>
    <xf numFmtId="0" fontId="11" fillId="12" borderId="6" xfId="0" applyFont="1" applyFill="1" applyBorder="1" applyAlignment="1">
      <alignment horizontal="left" vertical="center"/>
    </xf>
    <xf numFmtId="10" fontId="11" fillId="12" borderId="6" xfId="1" applyNumberFormat="1" applyFont="1" applyFill="1" applyBorder="1" applyAlignment="1" applyProtection="1">
      <alignment horizontal="left" vertical="center"/>
    </xf>
    <xf numFmtId="0" fontId="11" fillId="12" borderId="38" xfId="0" applyFont="1" applyFill="1" applyBorder="1" applyAlignment="1">
      <alignment horizontal="left" vertical="center"/>
    </xf>
    <xf numFmtId="0" fontId="11" fillId="12" borderId="39" xfId="0" applyFont="1" applyFill="1" applyBorder="1" applyAlignment="1">
      <alignment horizontal="left" vertical="center"/>
    </xf>
    <xf numFmtId="10" fontId="11" fillId="12" borderId="39" xfId="1" applyNumberFormat="1" applyFont="1" applyFill="1" applyBorder="1" applyAlignment="1" applyProtection="1">
      <alignment horizontal="left" vertical="center"/>
    </xf>
    <xf numFmtId="0" fontId="2" fillId="18" borderId="24" xfId="0" applyFont="1" applyFill="1" applyBorder="1" applyAlignment="1">
      <alignment horizontal="left" vertical="center"/>
    </xf>
    <xf numFmtId="0" fontId="2" fillId="18" borderId="15" xfId="0" applyFont="1" applyFill="1" applyBorder="1" applyAlignment="1">
      <alignment horizontal="left"/>
    </xf>
    <xf numFmtId="1" fontId="2" fillId="18" borderId="15" xfId="0" applyNumberFormat="1" applyFont="1" applyFill="1" applyBorder="1" applyAlignment="1">
      <alignment horizontal="left"/>
    </xf>
    <xf numFmtId="0" fontId="2" fillId="12" borderId="19" xfId="0" applyFont="1" applyFill="1" applyBorder="1" applyAlignment="1">
      <alignment horizontal="left"/>
    </xf>
    <xf numFmtId="1" fontId="2" fillId="12" borderId="19" xfId="0" applyNumberFormat="1" applyFont="1" applyFill="1" applyBorder="1" applyAlignment="1">
      <alignment horizontal="left"/>
    </xf>
    <xf numFmtId="0" fontId="2" fillId="18" borderId="28" xfId="0" applyFont="1" applyFill="1" applyBorder="1" applyAlignment="1">
      <alignment horizontal="left" vertical="center"/>
    </xf>
    <xf numFmtId="0" fontId="2" fillId="18" borderId="29" xfId="0" applyFont="1" applyFill="1" applyBorder="1" applyAlignment="1">
      <alignment horizontal="left"/>
    </xf>
    <xf numFmtId="1" fontId="2" fillId="18" borderId="29" xfId="0" applyNumberFormat="1" applyFont="1" applyFill="1" applyBorder="1" applyAlignment="1">
      <alignment horizontal="left" vertical="center"/>
    </xf>
    <xf numFmtId="0" fontId="2" fillId="12" borderId="6" xfId="0" applyFont="1" applyFill="1" applyBorder="1" applyAlignment="1">
      <alignment horizontal="left"/>
    </xf>
    <xf numFmtId="1" fontId="2" fillId="12" borderId="6" xfId="0" applyNumberFormat="1" applyFont="1" applyFill="1" applyBorder="1" applyAlignment="1">
      <alignment horizontal="left" vertical="center"/>
    </xf>
    <xf numFmtId="10" fontId="2" fillId="12" borderId="6" xfId="0" applyNumberFormat="1" applyFont="1" applyFill="1" applyBorder="1" applyAlignment="1">
      <alignment horizontal="left"/>
    </xf>
    <xf numFmtId="0" fontId="2" fillId="11" borderId="27" xfId="0" applyFont="1" applyFill="1" applyBorder="1" applyAlignment="1">
      <alignment horizontal="left" vertical="center" wrapText="1"/>
    </xf>
    <xf numFmtId="0" fontId="2" fillId="16" borderId="27" xfId="0" applyFont="1" applyFill="1" applyBorder="1" applyAlignment="1">
      <alignment horizontal="left" vertical="center" wrapText="1"/>
    </xf>
    <xf numFmtId="0" fontId="2" fillId="11" borderId="14" xfId="0" applyFont="1" applyFill="1" applyBorder="1" applyAlignment="1">
      <alignment horizontal="left" vertical="center" wrapText="1"/>
    </xf>
    <xf numFmtId="0" fontId="11" fillId="11" borderId="40" xfId="0" applyFont="1" applyFill="1" applyBorder="1" applyAlignment="1">
      <alignment horizontal="left" vertical="center" wrapText="1"/>
    </xf>
    <xf numFmtId="0" fontId="2" fillId="16" borderId="25" xfId="0" applyFont="1" applyFill="1" applyBorder="1" applyAlignment="1">
      <alignment horizontal="left" wrapText="1"/>
    </xf>
    <xf numFmtId="0" fontId="2" fillId="11" borderId="30" xfId="0" applyFont="1" applyFill="1" applyBorder="1" applyAlignment="1">
      <alignment horizontal="left" wrapText="1"/>
    </xf>
    <xf numFmtId="0" fontId="2" fillId="16" borderId="14" xfId="0" applyFont="1" applyFill="1" applyBorder="1" applyAlignment="1">
      <alignment horizontal="left" wrapText="1"/>
    </xf>
    <xf numFmtId="2" fontId="0" fillId="0" borderId="0" xfId="0" applyNumberFormat="1" applyAlignment="1">
      <alignment horizontal="left" vertical="center" wrapText="1"/>
    </xf>
    <xf numFmtId="0" fontId="9" fillId="0" borderId="0" xfId="0" applyFont="1" applyAlignment="1">
      <alignment horizontal="left" vertical="center" wrapText="1"/>
    </xf>
    <xf numFmtId="0" fontId="11" fillId="16" borderId="37" xfId="0" applyFont="1" applyFill="1" applyBorder="1" applyAlignment="1">
      <alignment horizontal="left" vertical="center" wrapText="1"/>
    </xf>
    <xf numFmtId="0" fontId="2" fillId="0" borderId="41" xfId="0" applyFont="1" applyBorder="1" applyAlignment="1">
      <alignment horizontal="left" wrapText="1"/>
    </xf>
    <xf numFmtId="0" fontId="11" fillId="17" borderId="35" xfId="0" applyFont="1" applyFill="1" applyBorder="1" applyAlignment="1">
      <alignment horizontal="left" vertical="center" wrapText="1"/>
    </xf>
    <xf numFmtId="0" fontId="2" fillId="8" borderId="25" xfId="0" applyFont="1" applyFill="1" applyBorder="1" applyAlignment="1">
      <alignment horizontal="left" vertical="center" wrapText="1"/>
    </xf>
    <xf numFmtId="0" fontId="2" fillId="8" borderId="27" xfId="0" applyFont="1" applyFill="1" applyBorder="1" applyAlignment="1">
      <alignment horizontal="left" vertical="center" wrapText="1"/>
    </xf>
    <xf numFmtId="0" fontId="11" fillId="8" borderId="14" xfId="0" applyFont="1" applyFill="1" applyBorder="1" applyAlignment="1">
      <alignment horizontal="left" vertical="center" wrapText="1"/>
    </xf>
    <xf numFmtId="0" fontId="11" fillId="8" borderId="40" xfId="0" applyFont="1" applyFill="1" applyBorder="1" applyAlignment="1">
      <alignment horizontal="left" vertical="center" wrapText="1"/>
    </xf>
    <xf numFmtId="0" fontId="2" fillId="17" borderId="25" xfId="0" applyFont="1" applyFill="1" applyBorder="1" applyAlignment="1">
      <alignment horizontal="left" wrapText="1"/>
    </xf>
    <xf numFmtId="0" fontId="2" fillId="8" borderId="27" xfId="0" applyFont="1" applyFill="1" applyBorder="1" applyAlignment="1">
      <alignment horizontal="left" wrapText="1"/>
    </xf>
    <xf numFmtId="0" fontId="2" fillId="17" borderId="23" xfId="0" applyFont="1" applyFill="1" applyBorder="1" applyAlignment="1">
      <alignment horizontal="left" wrapText="1"/>
    </xf>
    <xf numFmtId="0" fontId="2" fillId="8" borderId="18" xfId="0" applyFont="1" applyFill="1" applyBorder="1" applyAlignment="1">
      <alignment horizontal="left" wrapText="1"/>
    </xf>
    <xf numFmtId="0" fontId="2" fillId="0" borderId="18" xfId="0" applyFont="1" applyBorder="1" applyAlignment="1">
      <alignment horizontal="left" wrapText="1"/>
    </xf>
    <xf numFmtId="0" fontId="11" fillId="18" borderId="37" xfId="0" applyFont="1" applyFill="1" applyBorder="1" applyAlignment="1">
      <alignment horizontal="left" vertical="center" wrapText="1"/>
    </xf>
    <xf numFmtId="0" fontId="2" fillId="18" borderId="27" xfId="0" applyFont="1" applyFill="1" applyBorder="1" applyAlignment="1">
      <alignment horizontal="left" vertical="center" wrapText="1"/>
    </xf>
    <xf numFmtId="0" fontId="2" fillId="12" borderId="14" xfId="0" applyFont="1" applyFill="1" applyBorder="1" applyAlignment="1">
      <alignment horizontal="left" vertical="center" wrapText="1"/>
    </xf>
    <xf numFmtId="0" fontId="11" fillId="12" borderId="40" xfId="0" applyFont="1" applyFill="1" applyBorder="1" applyAlignment="1">
      <alignment horizontal="left" vertical="center" wrapText="1"/>
    </xf>
    <xf numFmtId="0" fontId="2" fillId="18" borderId="25" xfId="0" applyFont="1" applyFill="1" applyBorder="1" applyAlignment="1">
      <alignment horizontal="left" wrapText="1"/>
    </xf>
    <xf numFmtId="0" fontId="2" fillId="12" borderId="27" xfId="0" applyFont="1" applyFill="1" applyBorder="1" applyAlignment="1">
      <alignment horizontal="left" wrapText="1"/>
    </xf>
    <xf numFmtId="0" fontId="2" fillId="18" borderId="30" xfId="0" applyFont="1" applyFill="1" applyBorder="1" applyAlignment="1">
      <alignment horizontal="left" wrapText="1"/>
    </xf>
    <xf numFmtId="0" fontId="2" fillId="12" borderId="14" xfId="0" applyFont="1" applyFill="1" applyBorder="1" applyAlignment="1">
      <alignment horizontal="left" wrapText="1"/>
    </xf>
    <xf numFmtId="0" fontId="0" fillId="8" borderId="27" xfId="0" quotePrefix="1" applyFill="1" applyBorder="1" applyAlignment="1">
      <alignment horizontal="left" vertical="center" wrapText="1"/>
    </xf>
    <xf numFmtId="0" fontId="0" fillId="8" borderId="25" xfId="0" quotePrefix="1" applyFill="1" applyBorder="1" applyAlignment="1">
      <alignment horizontal="left" vertical="center" wrapText="1"/>
    </xf>
    <xf numFmtId="0" fontId="15" fillId="0" borderId="3" xfId="0" applyFont="1" applyBorder="1"/>
    <xf numFmtId="0" fontId="15" fillId="0" borderId="43" xfId="0" applyFont="1" applyBorder="1"/>
    <xf numFmtId="0" fontId="14" fillId="0" borderId="39" xfId="0" applyFont="1" applyBorder="1"/>
    <xf numFmtId="0" fontId="14" fillId="20" borderId="39" xfId="0" applyFont="1" applyFill="1" applyBorder="1"/>
    <xf numFmtId="0" fontId="15" fillId="20" borderId="44" xfId="0" applyFont="1" applyFill="1" applyBorder="1"/>
    <xf numFmtId="0" fontId="15" fillId="21" borderId="39" xfId="0" applyFont="1" applyFill="1" applyBorder="1"/>
    <xf numFmtId="0" fontId="16" fillId="21" borderId="44" xfId="0" applyFont="1" applyFill="1" applyBorder="1"/>
    <xf numFmtId="0" fontId="0" fillId="12" borderId="27" xfId="0" quotePrefix="1" applyFill="1" applyBorder="1" applyAlignment="1">
      <alignment horizontal="left" vertical="center" wrapText="1"/>
    </xf>
    <xf numFmtId="0" fontId="0" fillId="12" borderId="25" xfId="0" quotePrefix="1" applyFill="1" applyBorder="1" applyAlignment="1">
      <alignment horizontal="left" vertical="center" wrapText="1"/>
    </xf>
    <xf numFmtId="9" fontId="0" fillId="0" borderId="0" xfId="0" applyNumberFormat="1"/>
    <xf numFmtId="0" fontId="11" fillId="0" borderId="0" xfId="0" applyFont="1"/>
    <xf numFmtId="9" fontId="12" fillId="0" borderId="0" xfId="1"/>
    <xf numFmtId="0" fontId="2" fillId="0" borderId="0" xfId="0" applyFont="1"/>
    <xf numFmtId="49" fontId="7" fillId="0" borderId="20" xfId="0" applyNumberFormat="1" applyFont="1" applyBorder="1" applyAlignment="1">
      <alignment horizontal="right" vertical="center" wrapText="1"/>
    </xf>
    <xf numFmtId="0" fontId="6" fillId="14" borderId="35" xfId="0" applyFont="1" applyFill="1" applyBorder="1" applyAlignment="1">
      <alignment horizontal="left" vertical="center" wrapText="1"/>
    </xf>
    <xf numFmtId="0" fontId="0" fillId="0" borderId="8" xfId="0" applyBorder="1" applyAlignment="1">
      <alignment horizontal="right" vertical="center" wrapText="1"/>
    </xf>
    <xf numFmtId="0" fontId="7" fillId="0" borderId="21" xfId="0" applyFont="1" applyBorder="1" applyAlignment="1">
      <alignment horizontal="right" vertical="center" wrapText="1"/>
    </xf>
    <xf numFmtId="9" fontId="7" fillId="11" borderId="33" xfId="1" applyFont="1" applyFill="1" applyBorder="1" applyAlignment="1" applyProtection="1">
      <alignment horizontal="center" vertical="center" wrapText="1"/>
    </xf>
    <xf numFmtId="9" fontId="7" fillId="8" borderId="33" xfId="1" applyFont="1" applyFill="1" applyBorder="1" applyAlignment="1" applyProtection="1">
      <alignment horizontal="center" vertical="center" wrapText="1"/>
    </xf>
    <xf numFmtId="9" fontId="7" fillId="15" borderId="33" xfId="1" applyFont="1" applyFill="1" applyBorder="1" applyAlignment="1" applyProtection="1">
      <alignment horizontal="center" vertical="center" wrapText="1"/>
    </xf>
    <xf numFmtId="0" fontId="0" fillId="13" borderId="5" xfId="0" applyFill="1" applyBorder="1" applyAlignment="1">
      <alignment horizontal="center" vertical="center"/>
    </xf>
    <xf numFmtId="0" fontId="6" fillId="13" borderId="6" xfId="0" applyFont="1" applyFill="1" applyBorder="1" applyAlignment="1">
      <alignment horizontal="left" vertical="center" wrapText="1"/>
    </xf>
    <xf numFmtId="0" fontId="6" fillId="13" borderId="6" xfId="0" applyFont="1" applyFill="1" applyBorder="1" applyAlignment="1">
      <alignment horizontal="left" vertical="center"/>
    </xf>
    <xf numFmtId="49" fontId="7" fillId="0" borderId="13" xfId="0" applyNumberFormat="1" applyFont="1" applyBorder="1" applyAlignment="1">
      <alignment horizontal="right" vertical="center" wrapText="1"/>
    </xf>
    <xf numFmtId="49" fontId="7" fillId="0" borderId="33" xfId="0" applyNumberFormat="1" applyFont="1" applyBorder="1" applyAlignment="1">
      <alignment horizontal="right" vertical="center" wrapText="1"/>
    </xf>
    <xf numFmtId="0" fontId="0" fillId="0" borderId="0" xfId="0" applyAlignment="1">
      <alignment horizontal="center" vertical="center"/>
    </xf>
    <xf numFmtId="0" fontId="4" fillId="0" borderId="0" xfId="0" applyFont="1" applyAlignment="1">
      <alignment horizontal="center" vertical="center"/>
    </xf>
    <xf numFmtId="0" fontId="4" fillId="0" borderId="0" xfId="0" applyFont="1" applyAlignment="1">
      <alignment horizontal="left" vertical="center" wrapText="1"/>
    </xf>
    <xf numFmtId="49" fontId="4" fillId="0" borderId="5" xfId="0" applyNumberFormat="1" applyFont="1" applyBorder="1" applyAlignment="1">
      <alignment horizontal="left" vertical="center" wrapText="1"/>
    </xf>
    <xf numFmtId="49" fontId="4" fillId="0" borderId="6" xfId="0" applyNumberFormat="1" applyFont="1" applyBorder="1" applyAlignment="1">
      <alignment horizontal="left" vertical="center" wrapText="1"/>
    </xf>
    <xf numFmtId="0" fontId="4" fillId="11" borderId="7" xfId="0" applyFont="1" applyFill="1" applyBorder="1" applyAlignment="1">
      <alignment horizontal="center" vertical="center" wrapText="1"/>
    </xf>
    <xf numFmtId="0" fontId="4" fillId="8" borderId="8" xfId="0" applyFont="1" applyFill="1" applyBorder="1" applyAlignment="1">
      <alignment horizontal="center" vertical="center" wrapText="1"/>
    </xf>
    <xf numFmtId="0" fontId="4" fillId="12" borderId="9" xfId="0" applyFont="1" applyFill="1" applyBorder="1" applyAlignment="1">
      <alignment horizontal="center" vertical="center" wrapText="1"/>
    </xf>
    <xf numFmtId="0" fontId="9" fillId="0" borderId="0" xfId="0" applyFont="1" applyAlignment="1">
      <alignment horizontal="center" vertical="center"/>
    </xf>
    <xf numFmtId="0" fontId="10" fillId="16" borderId="35" xfId="0" applyFont="1" applyFill="1" applyBorder="1" applyAlignment="1">
      <alignment horizontal="center"/>
    </xf>
    <xf numFmtId="2" fontId="10" fillId="17" borderId="42" xfId="0" applyNumberFormat="1" applyFont="1" applyFill="1" applyBorder="1" applyAlignment="1">
      <alignment horizontal="center" vertical="center" wrapText="1"/>
    </xf>
    <xf numFmtId="0" fontId="10" fillId="18" borderId="42" xfId="0" applyFont="1" applyFill="1" applyBorder="1" applyAlignment="1">
      <alignment horizontal="center"/>
    </xf>
    <xf numFmtId="0" fontId="17" fillId="0" borderId="0" xfId="0" applyFont="1"/>
    <xf numFmtId="0" fontId="2" fillId="12" borderId="18" xfId="0" applyFont="1" applyFill="1" applyBorder="1" applyAlignment="1">
      <alignment horizontal="left" vertical="center" wrapText="1"/>
    </xf>
    <xf numFmtId="0" fontId="13" fillId="19" borderId="34" xfId="0" applyFont="1" applyFill="1" applyBorder="1" applyAlignment="1"/>
    <xf numFmtId="0" fontId="13" fillId="19" borderId="19" xfId="0" applyFont="1" applyFill="1" applyBorder="1" applyAlignment="1"/>
    <xf numFmtId="0" fontId="13" fillId="19" borderId="43" xfId="0" applyFont="1" applyFill="1" applyBorder="1" applyAlignment="1"/>
    <xf numFmtId="0" fontId="2" fillId="0" borderId="44" xfId="0" applyFont="1" applyBorder="1"/>
    <xf numFmtId="0" fontId="2" fillId="0" borderId="44" xfId="0" quotePrefix="1" applyFont="1" applyBorder="1" applyAlignment="1">
      <alignment wrapText="1"/>
    </xf>
  </cellXfs>
  <cellStyles count="7">
    <cellStyle name="Excel Built-in 40% - Accent1" xfId="3" xr:uid="{00000000-0005-0000-0000-000007000000}"/>
    <cellStyle name="Excel Built-in 40% - Accent2" xfId="4" xr:uid="{00000000-0005-0000-0000-000008000000}"/>
    <cellStyle name="Excel Built-in 40% - Accent3" xfId="5" xr:uid="{00000000-0005-0000-0000-000009000000}"/>
    <cellStyle name="Excel Built-in Output" xfId="2" xr:uid="{00000000-0005-0000-0000-000006000000}"/>
    <cellStyle name="Normal" xfId="0" builtinId="0"/>
    <cellStyle name="Normal 2" xfId="6" xr:uid="{6697008A-69CD-4023-ACE8-21E7770C95C6}"/>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E7E6E6"/>
      <rgbColor rgb="FFFF00FF"/>
      <rgbColor rgb="FF00FFFF"/>
      <rgbColor rgb="FF800000"/>
      <rgbColor rgb="FF008000"/>
      <rgbColor rgb="FF000080"/>
      <rgbColor rgb="FF808000"/>
      <rgbColor rgb="FF800080"/>
      <rgbColor rgb="FF008080"/>
      <rgbColor rgb="FFC9C9C9"/>
      <rgbColor rgb="FF808080"/>
      <rgbColor rgb="FFDAE3F3"/>
      <rgbColor rgb="FF993366"/>
      <rgbColor rgb="FFFFF2CC"/>
      <rgbColor rgb="FFDEEBF7"/>
      <rgbColor rgb="FF660066"/>
      <rgbColor rgb="FFF2F2F2"/>
      <rgbColor rgb="FF0066CC"/>
      <rgbColor rgb="FFBDD7EE"/>
      <rgbColor rgb="FF000080"/>
      <rgbColor rgb="FFFF00FF"/>
      <rgbColor rgb="FFEDEDED"/>
      <rgbColor rgb="FF00FFFF"/>
      <rgbColor rgb="FF800080"/>
      <rgbColor rgb="FF800000"/>
      <rgbColor rgb="FF008080"/>
      <rgbColor rgb="FF0000FF"/>
      <rgbColor rgb="FF00CCFF"/>
      <rgbColor rgb="FFE2EFDA"/>
      <rgbColor rgb="FFE2F0D9"/>
      <rgbColor rgb="FFFFE699"/>
      <rgbColor rgb="FFB4C7E7"/>
      <rgbColor rgb="FFDBDBDB"/>
      <rgbColor rgb="FFB4C6E7"/>
      <rgbColor rgb="FFF8CBAD"/>
      <rgbColor rgb="FF3366FF"/>
      <rgbColor rgb="FF33CCCC"/>
      <rgbColor rgb="FF99CC00"/>
      <rgbColor rgb="FFFFC000"/>
      <rgbColor rgb="FFFF9900"/>
      <rgbColor rgb="FFFF6600"/>
      <rgbColor rgb="FF666699"/>
      <rgbColor rgb="FFC5E0B4"/>
      <rgbColor rgb="FF003366"/>
      <rgbColor rgb="FF339966"/>
      <rgbColor rgb="FF003300"/>
      <rgbColor rgb="FF333300"/>
      <rgbColor rgb="FF993300"/>
      <rgbColor rgb="FF993366"/>
      <rgbColor rgb="FF333399"/>
      <rgbColor rgb="FF3F3F3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H41"/>
  <sheetViews>
    <sheetView topLeftCell="A2" zoomScale="120" zoomScaleNormal="120" workbookViewId="0">
      <selection activeCell="A31" sqref="A31"/>
    </sheetView>
  </sheetViews>
  <sheetFormatPr defaultColWidth="9.140625" defaultRowHeight="15"/>
  <cols>
    <col min="2" max="3" width="15" customWidth="1"/>
    <col min="4" max="4" width="16" customWidth="1"/>
    <col min="5" max="5" width="14.140625" customWidth="1"/>
    <col min="6" max="6" width="16.140625" customWidth="1"/>
    <col min="7" max="7" width="9.28515625" customWidth="1"/>
    <col min="8" max="8" width="15.7109375" customWidth="1"/>
  </cols>
  <sheetData>
    <row r="3" spans="1:8" ht="30">
      <c r="A3" s="2"/>
      <c r="B3" s="4" t="s">
        <v>0</v>
      </c>
      <c r="C3" s="5" t="s">
        <v>1</v>
      </c>
      <c r="D3" s="5" t="s">
        <v>2</v>
      </c>
      <c r="E3" s="4" t="s">
        <v>3</v>
      </c>
      <c r="F3" s="5" t="s">
        <v>4</v>
      </c>
      <c r="G3" s="6" t="s">
        <v>5</v>
      </c>
      <c r="H3" s="7" t="s">
        <v>6</v>
      </c>
    </row>
    <row r="4" spans="1:8">
      <c r="A4" s="8" t="s">
        <v>7</v>
      </c>
      <c r="B4" s="9">
        <f>(Fonctionnalités!D14)</f>
        <v>0.96</v>
      </c>
      <c r="C4" s="9">
        <f>Fonctionnalités!D18</f>
        <v>0.69</v>
      </c>
      <c r="D4" s="9">
        <f>'Assurance Qualité'!C59</f>
        <v>0.75150000000000006</v>
      </c>
      <c r="E4" s="9">
        <f>B4*0.5+C4*0.1+D4*0.4 - 0.1*F4</f>
        <v>0.84959999999999991</v>
      </c>
      <c r="F4" s="10"/>
      <c r="G4" s="11">
        <v>20</v>
      </c>
      <c r="H4" s="12">
        <f>E4*G4</f>
        <v>16.991999999999997</v>
      </c>
    </row>
    <row r="5" spans="1:8">
      <c r="A5" s="13" t="s">
        <v>8</v>
      </c>
      <c r="B5" s="14">
        <f>(Fonctionnalités!D28)</f>
        <v>0.94499999999999995</v>
      </c>
      <c r="C5" s="14">
        <f>Fonctionnalités!D33</f>
        <v>0.71</v>
      </c>
      <c r="D5" s="14">
        <f>'Assurance Qualité'!F59</f>
        <v>0.73049999999999993</v>
      </c>
      <c r="E5" s="14">
        <f>B5*0.5+C5*0.1+D5*0.4 - 0.1*F5</f>
        <v>0.83569999999999989</v>
      </c>
      <c r="F5" s="15"/>
      <c r="G5" s="16">
        <v>25</v>
      </c>
      <c r="H5" s="17">
        <f>E5*G5</f>
        <v>20.892499999999998</v>
      </c>
    </row>
    <row r="6" spans="1:8">
      <c r="A6" s="18" t="s">
        <v>9</v>
      </c>
      <c r="B6" s="19">
        <f>(Fonctionnalités!D43)</f>
        <v>0.96499999999999997</v>
      </c>
      <c r="C6" s="19">
        <f>Fonctionnalités!D48</f>
        <v>0.92000000000000015</v>
      </c>
      <c r="D6" s="19">
        <f>'Assurance Qualité'!I59</f>
        <v>0.65</v>
      </c>
      <c r="E6" s="19">
        <f>B6*0.5+C6*0.1+D6*0.4 - 0.1*F6</f>
        <v>0.83450000000000002</v>
      </c>
      <c r="F6" s="20"/>
      <c r="G6" s="21">
        <v>25</v>
      </c>
      <c r="H6" s="22">
        <f>E6*G6</f>
        <v>20.862500000000001</v>
      </c>
    </row>
    <row r="7" spans="1:8">
      <c r="A7" s="23" t="s">
        <v>10</v>
      </c>
      <c r="B7" s="23"/>
      <c r="C7" s="23"/>
      <c r="D7" s="23"/>
      <c r="E7" s="24">
        <f>MIN(1,1+SUM(A12:A56))</f>
        <v>0.86</v>
      </c>
      <c r="F7" s="25"/>
      <c r="G7" s="23">
        <v>5</v>
      </c>
      <c r="H7" s="26">
        <f>E7*G7</f>
        <v>4.3</v>
      </c>
    </row>
    <row r="8" spans="1:8">
      <c r="E8" s="251"/>
    </row>
    <row r="9" spans="1:8" ht="18.75">
      <c r="A9" s="128" t="s">
        <v>11</v>
      </c>
      <c r="C9" t="s">
        <v>12</v>
      </c>
    </row>
    <row r="10" spans="1:8">
      <c r="A10" s="252"/>
      <c r="B10" s="252" t="s">
        <v>13</v>
      </c>
    </row>
    <row r="11" spans="1:8">
      <c r="B11" s="252" t="s">
        <v>14</v>
      </c>
    </row>
    <row r="12" spans="1:8">
      <c r="A12" s="253">
        <v>-0.01</v>
      </c>
      <c r="B12" t="s">
        <v>15</v>
      </c>
    </row>
    <row r="13" spans="1:8">
      <c r="A13" s="253">
        <v>0.02</v>
      </c>
      <c r="B13" t="s">
        <v>16</v>
      </c>
    </row>
    <row r="14" spans="1:8">
      <c r="A14" s="253">
        <v>-0.01</v>
      </c>
      <c r="B14" t="s">
        <v>17</v>
      </c>
    </row>
    <row r="15" spans="1:8">
      <c r="A15" s="253">
        <v>0.05</v>
      </c>
      <c r="B15" t="s">
        <v>18</v>
      </c>
    </row>
    <row r="16" spans="1:8">
      <c r="A16" s="253">
        <v>-0.01</v>
      </c>
      <c r="B16" t="s">
        <v>19</v>
      </c>
    </row>
    <row r="17" spans="1:2">
      <c r="A17" s="253">
        <v>-0.01</v>
      </c>
      <c r="B17" t="s">
        <v>20</v>
      </c>
    </row>
    <row r="18" spans="1:2">
      <c r="A18" s="253">
        <v>-0.04</v>
      </c>
      <c r="B18" t="s">
        <v>21</v>
      </c>
    </row>
    <row r="19" spans="1:2">
      <c r="A19" s="253"/>
      <c r="B19" s="252" t="s">
        <v>22</v>
      </c>
    </row>
    <row r="20" spans="1:2">
      <c r="A20" s="253">
        <v>-0.01</v>
      </c>
      <c r="B20" t="s">
        <v>23</v>
      </c>
    </row>
    <row r="21" spans="1:2">
      <c r="A21" s="253">
        <v>-0.01</v>
      </c>
      <c r="B21" t="s">
        <v>24</v>
      </c>
    </row>
    <row r="22" spans="1:2">
      <c r="A22" s="253">
        <v>-0.02</v>
      </c>
      <c r="B22" s="254" t="s">
        <v>25</v>
      </c>
    </row>
    <row r="23" spans="1:2">
      <c r="A23" s="253">
        <v>-0.01</v>
      </c>
      <c r="B23" t="s">
        <v>26</v>
      </c>
    </row>
    <row r="24" spans="1:2">
      <c r="A24" s="253">
        <v>-0.01</v>
      </c>
      <c r="B24" s="254" t="s">
        <v>27</v>
      </c>
    </row>
    <row r="25" spans="1:2">
      <c r="A25" s="253"/>
      <c r="B25" s="252" t="s">
        <v>28</v>
      </c>
    </row>
    <row r="26" spans="1:2">
      <c r="A26" s="253">
        <v>-0.01</v>
      </c>
      <c r="B26" s="254" t="s">
        <v>29</v>
      </c>
    </row>
    <row r="27" spans="1:2">
      <c r="A27" s="253">
        <v>-0.01</v>
      </c>
      <c r="B27" s="254" t="s">
        <v>30</v>
      </c>
    </row>
    <row r="28" spans="1:2">
      <c r="A28" s="253">
        <v>-0.02</v>
      </c>
      <c r="B28" s="254" t="s">
        <v>31</v>
      </c>
    </row>
    <row r="29" spans="1:2">
      <c r="A29" s="253">
        <v>0.01</v>
      </c>
      <c r="B29" s="254" t="s">
        <v>32</v>
      </c>
    </row>
    <row r="30" spans="1:2">
      <c r="A30" s="253">
        <v>-0.01</v>
      </c>
      <c r="B30" s="254" t="s">
        <v>33</v>
      </c>
    </row>
    <row r="31" spans="1:2">
      <c r="A31" s="253">
        <v>-0.01</v>
      </c>
      <c r="B31" s="254" t="s">
        <v>34</v>
      </c>
    </row>
    <row r="32" spans="1:2">
      <c r="A32" s="253">
        <v>-0.01</v>
      </c>
      <c r="B32" s="254" t="s">
        <v>35</v>
      </c>
    </row>
    <row r="33" spans="1:2">
      <c r="A33" s="253"/>
      <c r="B33" s="252" t="s">
        <v>36</v>
      </c>
    </row>
    <row r="34" spans="1:2">
      <c r="A34" s="253">
        <v>-0.02</v>
      </c>
      <c r="B34" s="254" t="s">
        <v>37</v>
      </c>
    </row>
    <row r="35" spans="1:2">
      <c r="A35" s="253">
        <v>-0.01</v>
      </c>
      <c r="B35" s="254" t="s">
        <v>38</v>
      </c>
    </row>
    <row r="36" spans="1:2">
      <c r="A36" s="253">
        <v>-0.01</v>
      </c>
      <c r="B36" s="254" t="s">
        <v>39</v>
      </c>
    </row>
    <row r="37" spans="1:2">
      <c r="B37" s="279" t="s">
        <v>40</v>
      </c>
    </row>
    <row r="38" spans="1:2">
      <c r="A38" s="253">
        <v>0.03</v>
      </c>
      <c r="B38" t="s">
        <v>41</v>
      </c>
    </row>
    <row r="40" spans="1:2">
      <c r="B40" s="252"/>
    </row>
    <row r="41" spans="1:2">
      <c r="A41" s="253"/>
    </row>
  </sheetData>
  <conditionalFormatting sqref="A12:A38">
    <cfRule type="colorScale" priority="3">
      <colorScale>
        <cfvo type="min"/>
        <cfvo type="num" val="0"/>
        <cfvo type="max"/>
        <color rgb="FFF8696B"/>
        <color theme="0"/>
        <color rgb="FF63BE7B"/>
      </colorScale>
    </cfRule>
  </conditionalFormatting>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Q59"/>
  <sheetViews>
    <sheetView topLeftCell="E44" zoomScale="85" zoomScaleNormal="85" workbookViewId="0">
      <selection activeCell="I47" sqref="I47"/>
    </sheetView>
  </sheetViews>
  <sheetFormatPr defaultColWidth="9.140625" defaultRowHeight="15"/>
  <cols>
    <col min="1" max="1" width="22.7109375" style="27" customWidth="1"/>
    <col min="2" max="2" width="68.28515625" style="28" customWidth="1"/>
    <col min="3" max="4" width="10.7109375" style="27" customWidth="1"/>
    <col min="5" max="5" width="47.42578125" style="28" customWidth="1"/>
    <col min="6" max="7" width="10.7109375" customWidth="1"/>
    <col min="8" max="8" width="37.140625" style="28" customWidth="1"/>
    <col min="9" max="10" width="10.7109375" customWidth="1"/>
    <col min="11" max="11" width="42.42578125" style="28" customWidth="1"/>
    <col min="12" max="13" width="12.7109375" customWidth="1"/>
    <col min="14" max="16" width="15.7109375" customWidth="1"/>
  </cols>
  <sheetData>
    <row r="2" spans="1:17" ht="18" customHeight="1">
      <c r="A2" s="268" t="s">
        <v>42</v>
      </c>
      <c r="B2" s="268"/>
      <c r="C2" s="268"/>
      <c r="D2" s="268"/>
      <c r="E2" s="268"/>
      <c r="F2" s="268"/>
      <c r="G2" s="268"/>
      <c r="H2" s="268"/>
      <c r="I2" s="268"/>
      <c r="J2" s="268"/>
      <c r="K2" s="268"/>
      <c r="L2" s="29"/>
      <c r="M2" s="29"/>
    </row>
    <row r="4" spans="1:17" ht="18" customHeight="1">
      <c r="A4" s="269" t="s">
        <v>43</v>
      </c>
      <c r="B4" s="269"/>
      <c r="C4" s="269"/>
      <c r="D4" s="269"/>
      <c r="E4" s="269"/>
      <c r="F4" s="269"/>
      <c r="G4" s="269"/>
      <c r="H4" s="269"/>
      <c r="I4" s="269"/>
      <c r="J4" s="269"/>
      <c r="K4" s="269"/>
      <c r="L4" s="30"/>
      <c r="M4" s="30"/>
    </row>
    <row r="5" spans="1:17" ht="18.75">
      <c r="A5" s="31"/>
      <c r="B5" s="3"/>
      <c r="C5" s="32"/>
      <c r="D5" s="32"/>
      <c r="E5" s="3"/>
      <c r="F5" s="32"/>
      <c r="G5" s="32"/>
      <c r="H5" s="3"/>
      <c r="I5" s="32"/>
      <c r="J5" s="32"/>
      <c r="K5" s="3"/>
      <c r="L5" s="32"/>
      <c r="M5" s="32"/>
    </row>
    <row r="6" spans="1:17" ht="18" customHeight="1">
      <c r="A6" s="270" t="s">
        <v>44</v>
      </c>
      <c r="B6" s="271" t="s">
        <v>45</v>
      </c>
      <c r="C6" s="272" t="s">
        <v>7</v>
      </c>
      <c r="D6" s="272"/>
      <c r="E6" s="272"/>
      <c r="F6" s="273" t="s">
        <v>8</v>
      </c>
      <c r="G6" s="273"/>
      <c r="H6" s="273"/>
      <c r="I6" s="274" t="s">
        <v>9</v>
      </c>
      <c r="J6" s="274"/>
      <c r="K6" s="274"/>
      <c r="L6" s="33"/>
      <c r="M6" s="33"/>
      <c r="N6" s="267"/>
      <c r="O6" s="267"/>
      <c r="P6" s="267"/>
    </row>
    <row r="7" spans="1:17" ht="18.75">
      <c r="A7" s="270"/>
      <c r="B7" s="271"/>
      <c r="C7" s="34" t="s">
        <v>46</v>
      </c>
      <c r="D7" s="35" t="s">
        <v>5</v>
      </c>
      <c r="E7" s="36" t="s">
        <v>13</v>
      </c>
      <c r="F7" s="37" t="s">
        <v>46</v>
      </c>
      <c r="G7" s="38" t="s">
        <v>5</v>
      </c>
      <c r="H7" s="39" t="s">
        <v>13</v>
      </c>
      <c r="I7" s="40" t="s">
        <v>46</v>
      </c>
      <c r="J7" s="41" t="s">
        <v>5</v>
      </c>
      <c r="K7" s="42" t="s">
        <v>13</v>
      </c>
      <c r="L7" s="33"/>
      <c r="M7" s="33"/>
      <c r="N7" s="2"/>
      <c r="O7" s="2"/>
      <c r="P7" s="2"/>
      <c r="Q7" s="2"/>
    </row>
    <row r="8" spans="1:17" ht="18.75" customHeight="1">
      <c r="A8" s="263" t="s">
        <v>47</v>
      </c>
      <c r="B8" s="263"/>
      <c r="C8" s="262" t="s">
        <v>48</v>
      </c>
      <c r="D8" s="262"/>
      <c r="E8" s="43" t="s">
        <v>49</v>
      </c>
      <c r="F8" s="262" t="s">
        <v>48</v>
      </c>
      <c r="G8" s="262"/>
      <c r="H8" s="43" t="s">
        <v>49</v>
      </c>
      <c r="I8" s="262" t="s">
        <v>48</v>
      </c>
      <c r="J8" s="262"/>
      <c r="K8" s="43"/>
      <c r="L8" s="33"/>
      <c r="M8" s="33"/>
      <c r="N8" s="2"/>
      <c r="O8" s="2"/>
      <c r="P8" s="2"/>
      <c r="Q8" s="2"/>
    </row>
    <row r="9" spans="1:17" ht="210">
      <c r="A9" s="44" t="s">
        <v>50</v>
      </c>
      <c r="B9" s="44" t="s">
        <v>51</v>
      </c>
      <c r="C9" s="45">
        <v>0.25</v>
      </c>
      <c r="D9" s="46">
        <v>6</v>
      </c>
      <c r="E9" s="47" t="s">
        <v>52</v>
      </c>
      <c r="F9" s="48">
        <v>0.75</v>
      </c>
      <c r="G9" s="49">
        <v>6</v>
      </c>
      <c r="H9" s="50" t="s">
        <v>53</v>
      </c>
      <c r="I9" s="51">
        <v>0</v>
      </c>
      <c r="J9" s="52">
        <v>6</v>
      </c>
      <c r="K9" s="280" t="s">
        <v>54</v>
      </c>
      <c r="L9" s="33"/>
      <c r="M9" s="33"/>
      <c r="N9" s="2"/>
      <c r="O9" s="2"/>
      <c r="P9" s="2"/>
      <c r="Q9" s="2"/>
    </row>
    <row r="10" spans="1:17" ht="45">
      <c r="A10" s="54" t="s">
        <v>55</v>
      </c>
      <c r="B10" s="54" t="s">
        <v>56</v>
      </c>
      <c r="C10" s="45">
        <v>0.75</v>
      </c>
      <c r="D10" s="46">
        <v>2</v>
      </c>
      <c r="E10" s="47" t="s">
        <v>57</v>
      </c>
      <c r="F10" s="48">
        <v>1</v>
      </c>
      <c r="G10" s="49">
        <v>2</v>
      </c>
      <c r="H10" s="50"/>
      <c r="I10" s="51">
        <v>1</v>
      </c>
      <c r="J10" s="52">
        <v>2</v>
      </c>
      <c r="K10" s="53"/>
      <c r="L10" s="33"/>
      <c r="M10" s="33"/>
      <c r="N10" s="2"/>
      <c r="O10" s="2"/>
      <c r="P10" s="2"/>
      <c r="Q10" s="2"/>
    </row>
    <row r="11" spans="1:17" s="65" customFormat="1" ht="15.75" customHeight="1">
      <c r="A11" s="255" t="s">
        <v>58</v>
      </c>
      <c r="B11" s="255"/>
      <c r="C11" s="55">
        <f>SUMPRODUCT(C6:C10,D6:D10)</f>
        <v>3</v>
      </c>
      <c r="D11" s="56">
        <f>SUM(D6:D10)</f>
        <v>8</v>
      </c>
      <c r="E11" s="57"/>
      <c r="F11" s="58">
        <f>SUMPRODUCT(F6:F10,G6:G10)</f>
        <v>6.5</v>
      </c>
      <c r="G11" s="59">
        <f>SUM(G6:G10)</f>
        <v>8</v>
      </c>
      <c r="H11" s="60"/>
      <c r="I11" s="61">
        <f>SUMPRODUCT(I6:I10,J6:J10)</f>
        <v>2</v>
      </c>
      <c r="J11" s="62">
        <f>SUM(J6:J10)</f>
        <v>8</v>
      </c>
      <c r="K11" s="63"/>
      <c r="L11" s="64"/>
      <c r="M11" s="64"/>
    </row>
    <row r="12" spans="1:17" s="66" customFormat="1" ht="18" customHeight="1">
      <c r="A12" s="263" t="s">
        <v>59</v>
      </c>
      <c r="B12" s="263"/>
      <c r="C12" s="262" t="s">
        <v>48</v>
      </c>
      <c r="D12" s="262"/>
      <c r="E12" s="43" t="s">
        <v>12</v>
      </c>
      <c r="F12" s="262" t="s">
        <v>48</v>
      </c>
      <c r="G12" s="262"/>
      <c r="H12" s="43" t="s">
        <v>12</v>
      </c>
      <c r="I12" s="262" t="s">
        <v>48</v>
      </c>
      <c r="J12" s="262"/>
      <c r="K12" s="43" t="s">
        <v>12</v>
      </c>
      <c r="L12" s="30"/>
      <c r="M12" s="30"/>
    </row>
    <row r="13" spans="1:17" ht="225">
      <c r="A13" s="44" t="s">
        <v>60</v>
      </c>
      <c r="B13" s="44" t="s">
        <v>61</v>
      </c>
      <c r="C13" s="67">
        <v>1</v>
      </c>
      <c r="D13" s="68">
        <v>3</v>
      </c>
      <c r="E13" s="69" t="s">
        <v>62</v>
      </c>
      <c r="F13" s="70">
        <v>0.5</v>
      </c>
      <c r="G13" s="71">
        <f>D13</f>
        <v>3</v>
      </c>
      <c r="H13" s="241" t="s">
        <v>63</v>
      </c>
      <c r="I13" s="72">
        <v>0.6</v>
      </c>
      <c r="J13" s="73">
        <f>G13</f>
        <v>3</v>
      </c>
      <c r="K13" s="250" t="s">
        <v>64</v>
      </c>
      <c r="L13" s="75"/>
      <c r="M13" s="75"/>
    </row>
    <row r="14" spans="1:17" ht="105">
      <c r="A14" s="54" t="s">
        <v>65</v>
      </c>
      <c r="B14" s="54" t="s">
        <v>66</v>
      </c>
      <c r="C14" s="76">
        <v>0.6</v>
      </c>
      <c r="D14" s="77">
        <v>2</v>
      </c>
      <c r="E14" s="78" t="s">
        <v>67</v>
      </c>
      <c r="F14" s="79">
        <v>0.8</v>
      </c>
      <c r="G14" s="71">
        <f>D14</f>
        <v>2</v>
      </c>
      <c r="H14" s="240" t="s">
        <v>68</v>
      </c>
      <c r="I14" s="81">
        <v>1</v>
      </c>
      <c r="J14" s="73">
        <f>G14</f>
        <v>2</v>
      </c>
      <c r="K14" s="82"/>
      <c r="L14" s="75"/>
      <c r="M14" s="75"/>
    </row>
    <row r="15" spans="1:17" ht="315">
      <c r="A15" s="54" t="s">
        <v>69</v>
      </c>
      <c r="B15" s="54" t="s">
        <v>70</v>
      </c>
      <c r="C15" s="76">
        <v>0</v>
      </c>
      <c r="D15" s="77">
        <v>2</v>
      </c>
      <c r="E15" s="78" t="s">
        <v>71</v>
      </c>
      <c r="F15" s="79">
        <v>0</v>
      </c>
      <c r="G15" s="71">
        <f>D15</f>
        <v>2</v>
      </c>
      <c r="H15" s="240" t="s">
        <v>72</v>
      </c>
      <c r="I15" s="81">
        <v>0</v>
      </c>
      <c r="J15" s="73">
        <f>G15</f>
        <v>2</v>
      </c>
      <c r="K15" s="249" t="s">
        <v>73</v>
      </c>
      <c r="L15" s="75"/>
      <c r="M15" s="75"/>
    </row>
    <row r="16" spans="1:17" ht="195">
      <c r="A16" s="54" t="s">
        <v>74</v>
      </c>
      <c r="B16" s="54" t="s">
        <v>75</v>
      </c>
      <c r="C16" s="76">
        <v>1</v>
      </c>
      <c r="D16" s="77">
        <v>4</v>
      </c>
      <c r="E16" s="78"/>
      <c r="F16" s="79">
        <v>0.5</v>
      </c>
      <c r="G16" s="71">
        <f>D16</f>
        <v>4</v>
      </c>
      <c r="H16" s="240" t="s">
        <v>76</v>
      </c>
      <c r="I16" s="81">
        <v>0.75</v>
      </c>
      <c r="J16" s="73">
        <f>G16</f>
        <v>4</v>
      </c>
      <c r="K16" s="249" t="s">
        <v>77</v>
      </c>
      <c r="L16" s="75"/>
      <c r="M16" s="75"/>
    </row>
    <row r="17" spans="1:13" ht="60">
      <c r="A17" s="54" t="s">
        <v>78</v>
      </c>
      <c r="B17" s="54" t="s">
        <v>79</v>
      </c>
      <c r="C17" s="76">
        <v>1</v>
      </c>
      <c r="D17" s="77">
        <v>4</v>
      </c>
      <c r="E17" s="78"/>
      <c r="F17" s="79">
        <v>0.9</v>
      </c>
      <c r="G17" s="71">
        <f>D17</f>
        <v>4</v>
      </c>
      <c r="H17" s="240" t="s">
        <v>80</v>
      </c>
      <c r="I17" s="81">
        <v>1</v>
      </c>
      <c r="J17" s="73">
        <f>G17</f>
        <v>4</v>
      </c>
      <c r="K17" s="82"/>
      <c r="L17" s="75"/>
      <c r="M17" s="75"/>
    </row>
    <row r="18" spans="1:13" s="65" customFormat="1" ht="15.75" customHeight="1">
      <c r="A18" s="255" t="s">
        <v>58</v>
      </c>
      <c r="B18" s="255"/>
      <c r="C18" s="55">
        <f>SUMPRODUCT(C13:C17,D13:D17)</f>
        <v>12.2</v>
      </c>
      <c r="D18" s="56">
        <f>SUM(D13:D17)</f>
        <v>15</v>
      </c>
      <c r="E18" s="57"/>
      <c r="F18" s="58">
        <f>SUMPRODUCT(F13:F17,G13:G17)</f>
        <v>8.6999999999999993</v>
      </c>
      <c r="G18" s="59">
        <f>SUM(G13:G17)</f>
        <v>15</v>
      </c>
      <c r="H18" s="60"/>
      <c r="I18" s="61">
        <f>SUMPRODUCT(I13:I17,J13:J17)</f>
        <v>10.8</v>
      </c>
      <c r="J18" s="62">
        <f>SUM(J13:J17)</f>
        <v>15</v>
      </c>
      <c r="K18" s="63"/>
      <c r="L18" s="64"/>
      <c r="M18" s="64"/>
    </row>
    <row r="19" spans="1:13" s="66" customFormat="1" ht="18" customHeight="1">
      <c r="A19" s="264" t="s">
        <v>81</v>
      </c>
      <c r="B19" s="264"/>
      <c r="C19" s="262" t="s">
        <v>48</v>
      </c>
      <c r="D19" s="262"/>
      <c r="E19" s="43" t="s">
        <v>49</v>
      </c>
      <c r="F19" s="262" t="s">
        <v>48</v>
      </c>
      <c r="G19" s="262"/>
      <c r="H19" s="43" t="s">
        <v>49</v>
      </c>
      <c r="I19" s="262" t="s">
        <v>48</v>
      </c>
      <c r="J19" s="262"/>
      <c r="K19" s="43" t="s">
        <v>49</v>
      </c>
      <c r="L19" s="30"/>
      <c r="M19" s="30"/>
    </row>
    <row r="20" spans="1:13" ht="195">
      <c r="A20" s="54" t="s">
        <v>82</v>
      </c>
      <c r="B20" s="54" t="s">
        <v>83</v>
      </c>
      <c r="C20" s="76">
        <v>1</v>
      </c>
      <c r="D20" s="77">
        <v>3</v>
      </c>
      <c r="E20" s="78"/>
      <c r="F20" s="79">
        <v>0.5</v>
      </c>
      <c r="G20" s="83">
        <v>3</v>
      </c>
      <c r="H20" s="80" t="s">
        <v>84</v>
      </c>
      <c r="I20" s="81">
        <v>0</v>
      </c>
      <c r="J20" s="84">
        <v>3</v>
      </c>
      <c r="K20" s="82" t="s">
        <v>85</v>
      </c>
      <c r="L20" s="75"/>
      <c r="M20" s="75"/>
    </row>
    <row r="21" spans="1:13" ht="75">
      <c r="A21" s="54" t="s">
        <v>86</v>
      </c>
      <c r="B21" s="54" t="s">
        <v>87</v>
      </c>
      <c r="C21" s="76">
        <v>1</v>
      </c>
      <c r="D21" s="77">
        <v>3</v>
      </c>
      <c r="E21" s="78"/>
      <c r="F21" s="79">
        <v>1</v>
      </c>
      <c r="G21" s="83">
        <v>3</v>
      </c>
      <c r="H21" s="80"/>
      <c r="I21" s="81">
        <v>0.5</v>
      </c>
      <c r="J21" s="84">
        <v>3</v>
      </c>
      <c r="K21" s="82" t="s">
        <v>88</v>
      </c>
      <c r="L21" s="75"/>
      <c r="M21" s="75"/>
    </row>
    <row r="22" spans="1:13" s="65" customFormat="1" ht="15.75" customHeight="1">
      <c r="A22" s="265" t="s">
        <v>58</v>
      </c>
      <c r="B22" s="265"/>
      <c r="C22" s="85">
        <f>SUMPRODUCT(C20:C21,D20:D21)</f>
        <v>6</v>
      </c>
      <c r="D22" s="86">
        <f>SUM(D20:D21)</f>
        <v>6</v>
      </c>
      <c r="E22" s="87"/>
      <c r="F22" s="88">
        <f>SUMPRODUCT(F20:F21,G20:G21)</f>
        <v>4.5</v>
      </c>
      <c r="G22" s="89">
        <f>SUM(G20:G21)</f>
        <v>6</v>
      </c>
      <c r="H22" s="90"/>
      <c r="I22" s="91">
        <f>SUMPRODUCT(I20:I21,J20:J21)</f>
        <v>1.5</v>
      </c>
      <c r="J22" s="92">
        <f>SUM(J20:J21)</f>
        <v>6</v>
      </c>
      <c r="K22" s="93"/>
      <c r="L22" s="64"/>
      <c r="M22" s="64"/>
    </row>
    <row r="23" spans="1:13" ht="18.75" customHeight="1">
      <c r="A23" s="94" t="s">
        <v>89</v>
      </c>
      <c r="B23" s="94"/>
      <c r="C23" s="262" t="s">
        <v>48</v>
      </c>
      <c r="D23" s="262"/>
      <c r="E23" s="43" t="s">
        <v>12</v>
      </c>
      <c r="F23" s="262" t="s">
        <v>48</v>
      </c>
      <c r="G23" s="262"/>
      <c r="H23" s="43" t="s">
        <v>12</v>
      </c>
      <c r="I23" s="262" t="s">
        <v>48</v>
      </c>
      <c r="J23" s="262"/>
      <c r="K23" s="43" t="s">
        <v>12</v>
      </c>
      <c r="L23" s="30"/>
      <c r="M23" s="30"/>
    </row>
    <row r="24" spans="1:13" ht="30">
      <c r="A24" s="95" t="s">
        <v>90</v>
      </c>
      <c r="B24" s="95" t="s">
        <v>91</v>
      </c>
      <c r="C24" s="96">
        <v>1</v>
      </c>
      <c r="D24" s="97">
        <v>1</v>
      </c>
      <c r="E24" s="98"/>
      <c r="F24" s="99">
        <v>1</v>
      </c>
      <c r="G24" s="100">
        <v>1</v>
      </c>
      <c r="H24" s="101"/>
      <c r="I24" s="102">
        <v>1</v>
      </c>
      <c r="J24" s="103">
        <v>1</v>
      </c>
      <c r="K24" s="104"/>
      <c r="L24" s="75"/>
      <c r="M24" s="75"/>
    </row>
    <row r="25" spans="1:13">
      <c r="A25" s="54" t="s">
        <v>92</v>
      </c>
      <c r="B25" s="54" t="s">
        <v>93</v>
      </c>
      <c r="C25" s="76">
        <v>1</v>
      </c>
      <c r="D25" s="77">
        <v>2</v>
      </c>
      <c r="E25" s="78"/>
      <c r="F25" s="79">
        <v>1</v>
      </c>
      <c r="G25" s="83">
        <v>2</v>
      </c>
      <c r="H25" s="80"/>
      <c r="I25" s="81">
        <v>1</v>
      </c>
      <c r="J25" s="84">
        <v>2</v>
      </c>
      <c r="K25" s="82"/>
      <c r="L25" s="75"/>
      <c r="M25" s="75"/>
    </row>
    <row r="26" spans="1:13" ht="30">
      <c r="A26" s="54" t="s">
        <v>94</v>
      </c>
      <c r="B26" s="54" t="s">
        <v>95</v>
      </c>
      <c r="C26" s="76">
        <v>1</v>
      </c>
      <c r="D26" s="77">
        <v>1</v>
      </c>
      <c r="E26" s="78"/>
      <c r="F26" s="79">
        <v>1</v>
      </c>
      <c r="G26" s="83">
        <v>1</v>
      </c>
      <c r="H26" s="80"/>
      <c r="I26" s="81">
        <v>1</v>
      </c>
      <c r="J26" s="84">
        <v>1</v>
      </c>
      <c r="K26" s="82"/>
      <c r="L26" s="75"/>
      <c r="M26" s="75"/>
    </row>
    <row r="27" spans="1:13" s="65" customFormat="1" ht="15.75" customHeight="1">
      <c r="A27" s="266" t="s">
        <v>58</v>
      </c>
      <c r="B27" s="266"/>
      <c r="C27" s="55">
        <f>SUMPRODUCT(C24:C26,D24:D26)</f>
        <v>4</v>
      </c>
      <c r="D27" s="56">
        <f>SUM(D24:D26)</f>
        <v>4</v>
      </c>
      <c r="E27" s="57"/>
      <c r="F27" s="88">
        <f>SUMPRODUCT(F24:F26,G24:G26)</f>
        <v>4</v>
      </c>
      <c r="G27" s="89">
        <f>SUM(G24:G26)</f>
        <v>4</v>
      </c>
      <c r="H27" s="90"/>
      <c r="I27" s="91">
        <f>SUMPRODUCT(I24:I26,J24:J26)</f>
        <v>4</v>
      </c>
      <c r="J27" s="92">
        <f>SUM(J24:J26)</f>
        <v>4</v>
      </c>
      <c r="K27" s="93"/>
      <c r="L27" s="64"/>
      <c r="M27" s="64"/>
    </row>
    <row r="28" spans="1:13" ht="21" customHeight="1">
      <c r="A28" s="264" t="s">
        <v>96</v>
      </c>
      <c r="B28" s="264"/>
      <c r="C28" s="262" t="s">
        <v>48</v>
      </c>
      <c r="D28" s="262"/>
      <c r="E28" s="43" t="s">
        <v>49</v>
      </c>
      <c r="F28" s="262" t="s">
        <v>48</v>
      </c>
      <c r="G28" s="262"/>
      <c r="H28" s="105" t="s">
        <v>49</v>
      </c>
      <c r="I28" s="262" t="s">
        <v>48</v>
      </c>
      <c r="J28" s="262"/>
      <c r="K28" s="43" t="s">
        <v>49</v>
      </c>
      <c r="L28" s="106"/>
      <c r="M28" s="30"/>
    </row>
    <row r="29" spans="1:13" ht="45">
      <c r="A29" s="107" t="s">
        <v>97</v>
      </c>
      <c r="B29" s="107" t="s">
        <v>98</v>
      </c>
      <c r="C29" s="67">
        <v>0</v>
      </c>
      <c r="D29" s="68">
        <v>2</v>
      </c>
      <c r="E29" s="69" t="s">
        <v>99</v>
      </c>
      <c r="F29" s="70">
        <v>0.5</v>
      </c>
      <c r="G29" s="71">
        <f>D29</f>
        <v>2</v>
      </c>
      <c r="H29" s="108" t="s">
        <v>100</v>
      </c>
      <c r="I29" s="72">
        <v>1</v>
      </c>
      <c r="J29" s="73">
        <f>D29</f>
        <v>2</v>
      </c>
      <c r="K29" s="74"/>
      <c r="L29" s="75"/>
      <c r="M29" s="75"/>
    </row>
    <row r="30" spans="1:13">
      <c r="A30" s="109" t="s">
        <v>101</v>
      </c>
      <c r="B30" s="109" t="s">
        <v>102</v>
      </c>
      <c r="C30" s="76">
        <v>1</v>
      </c>
      <c r="D30" s="77">
        <v>2</v>
      </c>
      <c r="E30" s="78"/>
      <c r="F30" s="79">
        <v>1</v>
      </c>
      <c r="G30" s="71">
        <f>D30</f>
        <v>2</v>
      </c>
      <c r="H30" s="110"/>
      <c r="I30" s="81">
        <v>1</v>
      </c>
      <c r="J30" s="73">
        <f>D30</f>
        <v>2</v>
      </c>
      <c r="K30" s="82"/>
      <c r="L30" s="75"/>
      <c r="M30" s="75"/>
    </row>
    <row r="31" spans="1:13" ht="60">
      <c r="A31" s="109" t="s">
        <v>103</v>
      </c>
      <c r="B31" s="109" t="s">
        <v>104</v>
      </c>
      <c r="C31" s="76">
        <v>1</v>
      </c>
      <c r="D31" s="77">
        <v>2</v>
      </c>
      <c r="E31" s="78"/>
      <c r="F31" s="79">
        <v>0.9</v>
      </c>
      <c r="G31" s="71">
        <f>D31</f>
        <v>2</v>
      </c>
      <c r="H31" s="110" t="s">
        <v>105</v>
      </c>
      <c r="I31" s="81">
        <v>1</v>
      </c>
      <c r="J31" s="73">
        <f>D31</f>
        <v>2</v>
      </c>
      <c r="K31" s="82"/>
      <c r="L31" s="75"/>
      <c r="M31" s="75"/>
    </row>
    <row r="32" spans="1:13" s="65" customFormat="1" ht="15.75" customHeight="1">
      <c r="A32" s="255" t="s">
        <v>58</v>
      </c>
      <c r="B32" s="255"/>
      <c r="C32" s="55">
        <f>SUMPRODUCT(C29:C31,D29:D31)</f>
        <v>4</v>
      </c>
      <c r="D32" s="56">
        <f>SUM(D29:D31)</f>
        <v>6</v>
      </c>
      <c r="E32" s="57"/>
      <c r="F32" s="58">
        <f>SUMPRODUCT(F29:F31,G29:G31)</f>
        <v>4.8</v>
      </c>
      <c r="G32" s="59">
        <f>SUM(G29:G31)</f>
        <v>6</v>
      </c>
      <c r="H32" s="111"/>
      <c r="I32" s="91">
        <f>SUMPRODUCT(I29:I31,J29:J31)</f>
        <v>6</v>
      </c>
      <c r="J32" s="92">
        <f>SUM(J29:J31)</f>
        <v>6</v>
      </c>
      <c r="K32" s="93"/>
      <c r="L32" s="64"/>
      <c r="M32" s="64"/>
    </row>
    <row r="33" spans="1:13" ht="18.75" customHeight="1">
      <c r="A33" s="263" t="s">
        <v>106</v>
      </c>
      <c r="B33" s="263"/>
      <c r="C33" s="262" t="s">
        <v>48</v>
      </c>
      <c r="D33" s="262"/>
      <c r="E33" s="43" t="s">
        <v>12</v>
      </c>
      <c r="F33" s="262" t="s">
        <v>48</v>
      </c>
      <c r="G33" s="262"/>
      <c r="H33" s="43" t="s">
        <v>12</v>
      </c>
      <c r="I33" s="112" t="s">
        <v>48</v>
      </c>
      <c r="J33" s="105"/>
      <c r="K33" s="43" t="s">
        <v>12</v>
      </c>
      <c r="L33" s="113"/>
      <c r="M33" s="30"/>
    </row>
    <row r="34" spans="1:13" ht="120">
      <c r="A34" s="44" t="s">
        <v>107</v>
      </c>
      <c r="B34" s="44" t="s">
        <v>108</v>
      </c>
      <c r="C34" s="67">
        <v>0.75</v>
      </c>
      <c r="D34" s="68">
        <v>2</v>
      </c>
      <c r="E34" s="69" t="s">
        <v>109</v>
      </c>
      <c r="F34" s="70">
        <v>0.75</v>
      </c>
      <c r="G34" s="71">
        <v>2</v>
      </c>
      <c r="H34" s="241" t="s">
        <v>110</v>
      </c>
      <c r="I34" s="72">
        <v>0</v>
      </c>
      <c r="J34" s="73">
        <v>2</v>
      </c>
      <c r="K34" s="250" t="s">
        <v>111</v>
      </c>
      <c r="L34" s="75"/>
      <c r="M34" s="75"/>
    </row>
    <row r="35" spans="1:13" ht="285">
      <c r="A35" s="54" t="s">
        <v>112</v>
      </c>
      <c r="B35" s="54" t="s">
        <v>113</v>
      </c>
      <c r="C35" s="76">
        <v>1</v>
      </c>
      <c r="D35" s="77">
        <v>2</v>
      </c>
      <c r="E35" s="78"/>
      <c r="F35" s="79">
        <v>0.5</v>
      </c>
      <c r="G35" s="83">
        <v>2</v>
      </c>
      <c r="H35" s="240" t="s">
        <v>114</v>
      </c>
      <c r="I35" s="81">
        <v>0.75</v>
      </c>
      <c r="J35" s="84">
        <v>2</v>
      </c>
      <c r="K35" s="249" t="s">
        <v>115</v>
      </c>
      <c r="L35" s="75"/>
      <c r="M35" s="75"/>
    </row>
    <row r="36" spans="1:13" ht="409.5">
      <c r="A36" s="54" t="s">
        <v>116</v>
      </c>
      <c r="B36" s="54" t="s">
        <v>117</v>
      </c>
      <c r="C36" s="76">
        <v>0.8</v>
      </c>
      <c r="D36" s="77">
        <v>3</v>
      </c>
      <c r="E36" s="78" t="s">
        <v>118</v>
      </c>
      <c r="F36" s="79">
        <v>0.6</v>
      </c>
      <c r="G36" s="83">
        <v>3</v>
      </c>
      <c r="H36" s="240" t="s">
        <v>119</v>
      </c>
      <c r="I36" s="81">
        <v>0</v>
      </c>
      <c r="J36" s="84">
        <v>3</v>
      </c>
      <c r="K36" s="249" t="s">
        <v>120</v>
      </c>
      <c r="L36" s="75"/>
      <c r="M36" s="75"/>
    </row>
    <row r="37" spans="1:13" ht="409.5">
      <c r="A37" s="54" t="s">
        <v>121</v>
      </c>
      <c r="B37" s="54" t="s">
        <v>122</v>
      </c>
      <c r="C37" s="76">
        <v>0.75</v>
      </c>
      <c r="D37" s="77">
        <v>3</v>
      </c>
      <c r="E37" s="78" t="s">
        <v>123</v>
      </c>
      <c r="F37" s="79">
        <v>0.75</v>
      </c>
      <c r="G37" s="83">
        <v>3</v>
      </c>
      <c r="H37" s="240" t="s">
        <v>124</v>
      </c>
      <c r="I37" s="81">
        <v>0</v>
      </c>
      <c r="J37" s="84">
        <v>3</v>
      </c>
      <c r="K37" s="249" t="s">
        <v>125</v>
      </c>
      <c r="L37" s="75"/>
      <c r="M37" s="75"/>
    </row>
    <row r="38" spans="1:13" s="65" customFormat="1" ht="15.75" customHeight="1">
      <c r="A38" s="255" t="s">
        <v>58</v>
      </c>
      <c r="B38" s="255"/>
      <c r="C38" s="114">
        <f>SUMPRODUCT(C34:C37,D34:D37)</f>
        <v>8.15</v>
      </c>
      <c r="D38" s="56">
        <f>SUM(D34:D37)</f>
        <v>10</v>
      </c>
      <c r="E38" s="57"/>
      <c r="F38" s="115">
        <f>SUMPRODUCT(F34:F37,G34:G37)</f>
        <v>6.55</v>
      </c>
      <c r="G38" s="59">
        <f>SUM(G34:G37)</f>
        <v>10</v>
      </c>
      <c r="H38" s="60"/>
      <c r="I38" s="91">
        <f>SUMPRODUCT(I34:I37,J34:J37)</f>
        <v>1.5</v>
      </c>
      <c r="J38" s="92">
        <f>SUM(J34:J37)</f>
        <v>10</v>
      </c>
      <c r="K38" s="93"/>
      <c r="L38" s="64"/>
      <c r="M38" s="64"/>
    </row>
    <row r="39" spans="1:13" ht="18.75" customHeight="1">
      <c r="A39" s="1" t="s">
        <v>126</v>
      </c>
      <c r="B39" s="1"/>
      <c r="C39" s="262" t="s">
        <v>48</v>
      </c>
      <c r="D39" s="262"/>
      <c r="E39" s="105" t="s">
        <v>127</v>
      </c>
      <c r="F39" s="262" t="s">
        <v>48</v>
      </c>
      <c r="G39" s="262"/>
      <c r="H39" s="43" t="s">
        <v>127</v>
      </c>
      <c r="I39" s="262" t="s">
        <v>48</v>
      </c>
      <c r="J39" s="262"/>
      <c r="K39" s="43" t="s">
        <v>127</v>
      </c>
      <c r="L39" s="30"/>
      <c r="M39" s="30"/>
    </row>
    <row r="40" spans="1:13" ht="240">
      <c r="A40" s="54" t="s">
        <v>128</v>
      </c>
      <c r="B40" s="54" t="s">
        <v>129</v>
      </c>
      <c r="C40" s="76">
        <v>1</v>
      </c>
      <c r="D40" s="77">
        <v>2</v>
      </c>
      <c r="E40" s="78" t="s">
        <v>130</v>
      </c>
      <c r="F40" s="79">
        <v>0.2</v>
      </c>
      <c r="G40" s="83">
        <f t="shared" ref="G40:G48" si="0">D40</f>
        <v>2</v>
      </c>
      <c r="H40" s="80" t="s">
        <v>131</v>
      </c>
      <c r="I40" s="81">
        <v>0.6</v>
      </c>
      <c r="J40" s="84">
        <f t="shared" ref="J40:J48" si="1">D40</f>
        <v>2</v>
      </c>
      <c r="K40" s="82" t="s">
        <v>132</v>
      </c>
      <c r="L40" s="75"/>
      <c r="M40" s="75"/>
    </row>
    <row r="41" spans="1:13" ht="60">
      <c r="A41" s="54" t="s">
        <v>133</v>
      </c>
      <c r="B41" s="54" t="s">
        <v>134</v>
      </c>
      <c r="C41" s="76">
        <v>1</v>
      </c>
      <c r="D41" s="77">
        <v>2</v>
      </c>
      <c r="E41" s="78" t="s">
        <v>135</v>
      </c>
      <c r="F41" s="79">
        <v>0.6</v>
      </c>
      <c r="G41" s="83">
        <f t="shared" si="0"/>
        <v>2</v>
      </c>
      <c r="H41" s="80" t="s">
        <v>136</v>
      </c>
      <c r="I41" s="81">
        <v>0.8</v>
      </c>
      <c r="J41" s="84">
        <f t="shared" si="1"/>
        <v>2</v>
      </c>
      <c r="K41" s="82" t="s">
        <v>137</v>
      </c>
      <c r="L41" s="75"/>
      <c r="M41" s="75"/>
    </row>
    <row r="42" spans="1:13" ht="210">
      <c r="A42" s="54" t="s">
        <v>138</v>
      </c>
      <c r="B42" s="54" t="s">
        <v>139</v>
      </c>
      <c r="C42" s="76">
        <v>0</v>
      </c>
      <c r="D42" s="77">
        <v>2</v>
      </c>
      <c r="E42" s="78" t="s">
        <v>140</v>
      </c>
      <c r="F42" s="79">
        <v>0.8</v>
      </c>
      <c r="G42" s="83">
        <f t="shared" si="0"/>
        <v>2</v>
      </c>
      <c r="H42" s="80" t="s">
        <v>141</v>
      </c>
      <c r="I42" s="81">
        <v>0.8</v>
      </c>
      <c r="J42" s="84">
        <f t="shared" si="1"/>
        <v>2</v>
      </c>
      <c r="K42" s="82" t="s">
        <v>142</v>
      </c>
      <c r="L42" s="75"/>
    </row>
    <row r="43" spans="1:13" ht="315">
      <c r="A43" s="54" t="s">
        <v>143</v>
      </c>
      <c r="B43" s="54" t="s">
        <v>144</v>
      </c>
      <c r="C43" s="76">
        <v>0.4</v>
      </c>
      <c r="D43" s="77">
        <v>4</v>
      </c>
      <c r="E43" s="78" t="s">
        <v>145</v>
      </c>
      <c r="F43" s="79">
        <v>0</v>
      </c>
      <c r="G43" s="83">
        <f t="shared" si="0"/>
        <v>4</v>
      </c>
      <c r="H43" s="80" t="s">
        <v>146</v>
      </c>
      <c r="I43" s="81">
        <v>0</v>
      </c>
      <c r="J43" s="84">
        <f t="shared" si="1"/>
        <v>4</v>
      </c>
      <c r="K43" s="82" t="s">
        <v>147</v>
      </c>
      <c r="L43" s="75"/>
      <c r="M43" s="75"/>
    </row>
    <row r="44" spans="1:13" ht="180">
      <c r="A44" s="54" t="s">
        <v>148</v>
      </c>
      <c r="B44" s="54" t="s">
        <v>149</v>
      </c>
      <c r="C44" s="76">
        <v>0.4</v>
      </c>
      <c r="D44" s="77">
        <v>6</v>
      </c>
      <c r="E44" s="78" t="s">
        <v>150</v>
      </c>
      <c r="F44" s="79">
        <v>0.8</v>
      </c>
      <c r="G44" s="83">
        <f t="shared" si="0"/>
        <v>6</v>
      </c>
      <c r="H44" s="80" t="s">
        <v>151</v>
      </c>
      <c r="I44" s="81">
        <v>0.8</v>
      </c>
      <c r="J44" s="84">
        <f t="shared" si="1"/>
        <v>6</v>
      </c>
      <c r="K44" s="82" t="s">
        <v>152</v>
      </c>
      <c r="L44" s="75"/>
      <c r="M44" s="75"/>
    </row>
    <row r="45" spans="1:13" ht="43.15" customHeight="1">
      <c r="A45" s="54" t="s">
        <v>153</v>
      </c>
      <c r="B45" s="54" t="s">
        <v>154</v>
      </c>
      <c r="C45" s="76">
        <v>1</v>
      </c>
      <c r="D45" s="77">
        <v>8</v>
      </c>
      <c r="E45" s="78" t="s">
        <v>135</v>
      </c>
      <c r="F45" s="79">
        <v>1</v>
      </c>
      <c r="G45" s="83">
        <f t="shared" si="0"/>
        <v>8</v>
      </c>
      <c r="H45" s="80"/>
      <c r="I45" s="81">
        <v>1</v>
      </c>
      <c r="J45" s="84">
        <f t="shared" si="1"/>
        <v>8</v>
      </c>
      <c r="K45" s="82"/>
      <c r="L45" s="75"/>
      <c r="M45" s="75"/>
    </row>
    <row r="46" spans="1:13" ht="43.15" customHeight="1">
      <c r="A46" s="54" t="s">
        <v>155</v>
      </c>
      <c r="B46" s="54" t="s">
        <v>156</v>
      </c>
      <c r="C46" s="76">
        <v>1</v>
      </c>
      <c r="D46" s="77">
        <v>6</v>
      </c>
      <c r="E46" s="78" t="s">
        <v>157</v>
      </c>
      <c r="F46" s="79">
        <v>0.8</v>
      </c>
      <c r="G46" s="83">
        <f t="shared" si="0"/>
        <v>6</v>
      </c>
      <c r="H46" s="80" t="s">
        <v>158</v>
      </c>
      <c r="I46" s="81">
        <v>0.8</v>
      </c>
      <c r="J46" s="84">
        <f t="shared" si="1"/>
        <v>6</v>
      </c>
      <c r="K46" s="82" t="s">
        <v>159</v>
      </c>
      <c r="L46" s="75"/>
      <c r="M46" s="75"/>
    </row>
    <row r="47" spans="1:13" ht="72" customHeight="1">
      <c r="A47" s="54" t="s">
        <v>160</v>
      </c>
      <c r="B47" s="54" t="s">
        <v>161</v>
      </c>
      <c r="C47" s="76">
        <v>0.8</v>
      </c>
      <c r="D47" s="77">
        <v>6</v>
      </c>
      <c r="E47" s="78" t="s">
        <v>162</v>
      </c>
      <c r="F47" s="79">
        <v>0.7</v>
      </c>
      <c r="G47" s="83">
        <f t="shared" si="0"/>
        <v>6</v>
      </c>
      <c r="H47" s="80" t="s">
        <v>163</v>
      </c>
      <c r="I47" s="81">
        <v>0.6</v>
      </c>
      <c r="J47" s="84">
        <f t="shared" si="1"/>
        <v>6</v>
      </c>
      <c r="K47" s="82" t="s">
        <v>164</v>
      </c>
      <c r="L47" s="75"/>
      <c r="M47" s="75"/>
    </row>
    <row r="48" spans="1:13" ht="43.15" customHeight="1">
      <c r="A48" s="116" t="s">
        <v>165</v>
      </c>
      <c r="B48" s="54" t="s">
        <v>166</v>
      </c>
      <c r="C48" s="76">
        <v>1</v>
      </c>
      <c r="D48" s="77">
        <v>4</v>
      </c>
      <c r="E48" s="78" t="s">
        <v>135</v>
      </c>
      <c r="F48" s="79">
        <v>0.7</v>
      </c>
      <c r="G48" s="83">
        <f t="shared" si="0"/>
        <v>4</v>
      </c>
      <c r="H48" s="240" t="s">
        <v>167</v>
      </c>
      <c r="I48" s="81">
        <v>1</v>
      </c>
      <c r="J48" s="84">
        <f t="shared" si="1"/>
        <v>4</v>
      </c>
      <c r="K48" s="82"/>
      <c r="L48" s="75"/>
      <c r="M48" s="75"/>
    </row>
    <row r="49" spans="1:13" s="65" customFormat="1" ht="15.75" customHeight="1">
      <c r="A49" s="255" t="s">
        <v>58</v>
      </c>
      <c r="B49" s="255"/>
      <c r="C49" s="117">
        <f>SUMPRODUCT(C40:C48,D40:D48)</f>
        <v>30.8</v>
      </c>
      <c r="D49" s="86">
        <f>SUM(D40:D48)</f>
        <v>40</v>
      </c>
      <c r="E49" s="87"/>
      <c r="F49" s="115">
        <f>SUMPRODUCT(F40:F48,G40:G48)</f>
        <v>27.8</v>
      </c>
      <c r="G49" s="59">
        <f>SUM(G40:G48)</f>
        <v>40</v>
      </c>
      <c r="H49" s="60"/>
      <c r="I49" s="61">
        <f>SUMPRODUCT(I40:I48,J40:J48)</f>
        <v>29.6</v>
      </c>
      <c r="J49" s="62">
        <f>SUM(J40:J48)</f>
        <v>40</v>
      </c>
      <c r="K49" s="63"/>
      <c r="L49" s="64"/>
      <c r="M49" s="64"/>
    </row>
    <row r="50" spans="1:13" ht="18" customHeight="1">
      <c r="A50" s="263" t="s">
        <v>168</v>
      </c>
      <c r="B50" s="263"/>
      <c r="C50" s="262" t="s">
        <v>48</v>
      </c>
      <c r="D50" s="262"/>
      <c r="E50" s="43" t="s">
        <v>49</v>
      </c>
      <c r="F50" s="262" t="s">
        <v>48</v>
      </c>
      <c r="G50" s="262"/>
      <c r="H50" s="43" t="s">
        <v>49</v>
      </c>
      <c r="I50" s="262" t="s">
        <v>48</v>
      </c>
      <c r="J50" s="262"/>
      <c r="K50" s="43" t="s">
        <v>49</v>
      </c>
      <c r="L50" s="113"/>
      <c r="M50" s="30"/>
    </row>
    <row r="51" spans="1:13">
      <c r="A51" s="44" t="s">
        <v>169</v>
      </c>
      <c r="B51" s="44" t="s">
        <v>170</v>
      </c>
      <c r="C51" s="67">
        <v>1</v>
      </c>
      <c r="D51" s="68">
        <v>2</v>
      </c>
      <c r="E51" s="69"/>
      <c r="F51" s="99">
        <v>1</v>
      </c>
      <c r="G51" s="100">
        <v>2</v>
      </c>
      <c r="H51" s="101"/>
      <c r="I51" s="102">
        <v>1</v>
      </c>
      <c r="J51" s="103">
        <v>2</v>
      </c>
      <c r="K51" s="104"/>
      <c r="L51" s="75"/>
      <c r="M51" s="75"/>
    </row>
    <row r="52" spans="1:13" ht="120">
      <c r="A52" s="54" t="s">
        <v>171</v>
      </c>
      <c r="B52" s="54" t="s">
        <v>172</v>
      </c>
      <c r="C52" s="76">
        <v>0</v>
      </c>
      <c r="D52" s="77">
        <v>2</v>
      </c>
      <c r="E52" s="78" t="s">
        <v>173</v>
      </c>
      <c r="F52" s="79">
        <v>0.6</v>
      </c>
      <c r="G52" s="83">
        <v>2</v>
      </c>
      <c r="H52" s="80" t="s">
        <v>174</v>
      </c>
      <c r="I52" s="81">
        <v>1</v>
      </c>
      <c r="J52" s="84">
        <v>2</v>
      </c>
      <c r="K52" s="82"/>
      <c r="L52" s="75"/>
      <c r="M52" s="75"/>
    </row>
    <row r="53" spans="1:13" ht="45">
      <c r="A53" s="54" t="s">
        <v>175</v>
      </c>
      <c r="B53" s="54" t="s">
        <v>176</v>
      </c>
      <c r="C53" s="76">
        <v>1</v>
      </c>
      <c r="D53" s="77">
        <v>1</v>
      </c>
      <c r="E53" s="78"/>
      <c r="F53" s="79">
        <v>1</v>
      </c>
      <c r="G53" s="83">
        <v>1</v>
      </c>
      <c r="H53" s="80"/>
      <c r="I53" s="81">
        <v>1</v>
      </c>
      <c r="J53" s="84">
        <v>1</v>
      </c>
      <c r="K53" s="82"/>
      <c r="L53" s="75"/>
      <c r="M53" s="75"/>
    </row>
    <row r="54" spans="1:13" ht="75">
      <c r="A54" s="54" t="s">
        <v>177</v>
      </c>
      <c r="B54" s="54" t="s">
        <v>178</v>
      </c>
      <c r="C54" s="76">
        <v>0.5</v>
      </c>
      <c r="D54" s="77">
        <v>4</v>
      </c>
      <c r="E54" s="78" t="s">
        <v>179</v>
      </c>
      <c r="F54" s="79">
        <v>1</v>
      </c>
      <c r="G54" s="83">
        <v>4</v>
      </c>
      <c r="H54" s="80"/>
      <c r="I54" s="81">
        <v>0.65</v>
      </c>
      <c r="J54" s="84">
        <v>4</v>
      </c>
      <c r="K54" s="82" t="s">
        <v>180</v>
      </c>
      <c r="L54" s="75"/>
      <c r="M54" s="75"/>
    </row>
    <row r="55" spans="1:13" ht="45">
      <c r="A55" s="54" t="s">
        <v>181</v>
      </c>
      <c r="B55" s="54" t="s">
        <v>182</v>
      </c>
      <c r="C55" s="76">
        <v>1</v>
      </c>
      <c r="D55" s="77">
        <v>2</v>
      </c>
      <c r="E55" s="78"/>
      <c r="F55" s="79">
        <v>1</v>
      </c>
      <c r="G55" s="83">
        <v>2</v>
      </c>
      <c r="H55" s="80"/>
      <c r="I55" s="81">
        <v>1</v>
      </c>
      <c r="J55" s="84">
        <v>2</v>
      </c>
      <c r="K55" s="82"/>
      <c r="L55" s="118"/>
      <c r="M55" s="75"/>
    </row>
    <row r="56" spans="1:13" s="65" customFormat="1" ht="15.75" customHeight="1">
      <c r="A56" s="255" t="s">
        <v>58</v>
      </c>
      <c r="B56" s="255"/>
      <c r="C56" s="85">
        <f>SUMPRODUCT(C51:C55,D51:D55)</f>
        <v>7</v>
      </c>
      <c r="D56" s="86">
        <f>SUM(D51:D55)</f>
        <v>11</v>
      </c>
      <c r="E56" s="87"/>
      <c r="F56" s="88">
        <f>SUMPRODUCT(F51:F55,G51:G55)</f>
        <v>10.199999999999999</v>
      </c>
      <c r="G56" s="89">
        <f>SUM(G51:G55)</f>
        <v>11</v>
      </c>
      <c r="H56" s="90"/>
      <c r="I56" s="61">
        <f>SUMPRODUCT(I51:I55,J51:J55)</f>
        <v>9.6</v>
      </c>
      <c r="J56" s="62">
        <f>SUM(J51:J55)</f>
        <v>11</v>
      </c>
      <c r="K56" s="63"/>
      <c r="L56" s="64"/>
      <c r="M56" s="64"/>
    </row>
    <row r="57" spans="1:13" ht="18.75" customHeight="1">
      <c r="A57" s="256" t="s">
        <v>3</v>
      </c>
      <c r="B57" s="256"/>
      <c r="C57" s="256"/>
      <c r="D57" s="256"/>
      <c r="E57" s="256"/>
      <c r="F57" s="256"/>
      <c r="G57" s="256"/>
      <c r="H57" s="256"/>
      <c r="I57" s="256"/>
      <c r="J57" s="256"/>
      <c r="K57" s="256"/>
      <c r="L57" s="30"/>
      <c r="M57" s="30"/>
    </row>
    <row r="58" spans="1:13" ht="15" customHeight="1">
      <c r="A58" s="257" t="s">
        <v>183</v>
      </c>
      <c r="B58" s="257"/>
      <c r="C58" s="119">
        <f>C11+C18+C22+C27+C32+C38+C49+C56</f>
        <v>75.150000000000006</v>
      </c>
      <c r="D58" s="97">
        <f>D11+D18+D22+D27+D32+D38+D49+D56</f>
        <v>100</v>
      </c>
      <c r="E58" s="98"/>
      <c r="F58" s="120">
        <f>F11+F18+F22+F27+F32+F38+F49+F56</f>
        <v>73.05</v>
      </c>
      <c r="G58" s="100">
        <f>G11+G18+G22+G27+G32+G38+G49+G56</f>
        <v>100</v>
      </c>
      <c r="H58" s="101"/>
      <c r="I58" s="121">
        <f>I11+I18+I22+I27+I32+I38+I49+I56</f>
        <v>65</v>
      </c>
      <c r="J58" s="122">
        <f>J11+J18+J22+J27+J32+J38+J49+J56</f>
        <v>100</v>
      </c>
      <c r="K58" s="123"/>
      <c r="L58" s="118"/>
      <c r="M58" s="75"/>
    </row>
    <row r="59" spans="1:13" s="65" customFormat="1" ht="15.75" customHeight="1">
      <c r="A59" s="258" t="s">
        <v>184</v>
      </c>
      <c r="B59" s="258"/>
      <c r="C59" s="259">
        <f>C58/D58</f>
        <v>0.75150000000000006</v>
      </c>
      <c r="D59" s="259"/>
      <c r="E59" s="259"/>
      <c r="F59" s="260">
        <f>F58/G58</f>
        <v>0.73049999999999993</v>
      </c>
      <c r="G59" s="260"/>
      <c r="H59" s="260"/>
      <c r="I59" s="261">
        <f>I58/J58</f>
        <v>0.65</v>
      </c>
      <c r="J59" s="261"/>
      <c r="K59" s="261"/>
      <c r="L59" s="124"/>
      <c r="M59" s="124"/>
    </row>
  </sheetData>
  <mergeCells count="51">
    <mergeCell ref="A2:K2"/>
    <mergeCell ref="A4:K4"/>
    <mergeCell ref="A6:A7"/>
    <mergeCell ref="B6:B7"/>
    <mergeCell ref="C6:E6"/>
    <mergeCell ref="F6:H6"/>
    <mergeCell ref="I6:K6"/>
    <mergeCell ref="N6:P6"/>
    <mergeCell ref="A8:B8"/>
    <mergeCell ref="C8:D8"/>
    <mergeCell ref="F8:G8"/>
    <mergeCell ref="I8:J8"/>
    <mergeCell ref="A11:B11"/>
    <mergeCell ref="A12:B12"/>
    <mergeCell ref="C12:D12"/>
    <mergeCell ref="F12:G12"/>
    <mergeCell ref="I12:J12"/>
    <mergeCell ref="A18:B18"/>
    <mergeCell ref="A19:B19"/>
    <mergeCell ref="C19:D19"/>
    <mergeCell ref="F19:G19"/>
    <mergeCell ref="I19:J19"/>
    <mergeCell ref="A22:B22"/>
    <mergeCell ref="C23:D23"/>
    <mergeCell ref="F23:G23"/>
    <mergeCell ref="I23:J23"/>
    <mergeCell ref="A27:B27"/>
    <mergeCell ref="A28:B28"/>
    <mergeCell ref="C28:D28"/>
    <mergeCell ref="F28:G28"/>
    <mergeCell ref="I28:J28"/>
    <mergeCell ref="A32:B32"/>
    <mergeCell ref="A33:B33"/>
    <mergeCell ref="C33:D33"/>
    <mergeCell ref="F33:G33"/>
    <mergeCell ref="A38:B38"/>
    <mergeCell ref="C39:D39"/>
    <mergeCell ref="F39:G39"/>
    <mergeCell ref="I39:J39"/>
    <mergeCell ref="A49:B49"/>
    <mergeCell ref="A50:B50"/>
    <mergeCell ref="C50:D50"/>
    <mergeCell ref="F50:G50"/>
    <mergeCell ref="I50:J50"/>
    <mergeCell ref="A56:B56"/>
    <mergeCell ref="A57:K57"/>
    <mergeCell ref="A58:B58"/>
    <mergeCell ref="A59:B59"/>
    <mergeCell ref="C59:E59"/>
    <mergeCell ref="F59:H59"/>
    <mergeCell ref="I59:K59"/>
  </mergeCells>
  <dataValidations count="2">
    <dataValidation type="decimal" allowBlank="1" showInputMessage="1" showErrorMessage="1" sqref="C9:C10 F9:F10 I9:I10 L11 C13:C17 F13:F17 I13:I17 L18 C20:C21 F20:F21 I20:I21 L22 C24:C26 F24:F26 I24:I26 L27 C29:C31 F29:F31 I29:I31 L32 C34:C37 F34:F37 I34:I37 L38 C40:C48 F40:F48 I40:I48 L49 C51:C55 F51:F55 I51:I55" xr:uid="{00000000-0002-0000-0100-000000000000}">
      <formula1>0</formula1>
      <formula2>1</formula2>
    </dataValidation>
    <dataValidation type="decimal" allowBlank="1" showInputMessage="1" showErrorMessage="1" error="Les évaluations sont faites en terme de pourcentage. Veuillez entrer une valeur entre 0 et 1" sqref="L13:L17 L20:L21 L24:L26 L29:L31 L34:L37 L40:L48 L51:L55" xr:uid="{00000000-0002-0000-0100-000001000000}">
      <formula1>0</formula1>
      <formula2>1</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AMI48"/>
  <sheetViews>
    <sheetView tabSelected="1" topLeftCell="H34" zoomScale="85" zoomScaleNormal="85" workbookViewId="0">
      <selection activeCell="I42" sqref="I42"/>
    </sheetView>
  </sheetViews>
  <sheetFormatPr defaultColWidth="9.140625" defaultRowHeight="15"/>
  <cols>
    <col min="1" max="1" width="50.5703125" style="125" customWidth="1"/>
    <col min="2" max="2" width="9.140625" style="125"/>
    <col min="3" max="3" width="9.85546875" style="125" customWidth="1"/>
    <col min="4" max="5" width="11" style="125" customWidth="1"/>
    <col min="6" max="6" width="54.85546875" style="28" customWidth="1"/>
    <col min="7" max="7" width="9.140625" style="125"/>
    <col min="8" max="8" width="18.5703125" style="125" customWidth="1"/>
    <col min="9" max="9" width="9.140625" style="125"/>
    <col min="10" max="10" width="11.7109375" style="125" bestFit="1" customWidth="1"/>
    <col min="11" max="11" width="9.140625" style="125"/>
    <col min="12" max="12" width="52.5703125" style="125" customWidth="1"/>
    <col min="13" max="1023" width="9.140625" style="125"/>
  </cols>
  <sheetData>
    <row r="2" spans="1:12" ht="18.75">
      <c r="A2" s="275" t="s">
        <v>185</v>
      </c>
      <c r="B2" s="275"/>
      <c r="C2" s="275"/>
      <c r="D2" s="275"/>
      <c r="E2" s="275"/>
      <c r="F2" s="275"/>
    </row>
    <row r="3" spans="1:12">
      <c r="A3" s="126"/>
      <c r="B3" s="126"/>
      <c r="C3" s="127"/>
      <c r="D3" s="126"/>
      <c r="E3" s="126"/>
      <c r="F3" s="218"/>
    </row>
    <row r="4" spans="1:12" ht="18.75">
      <c r="A4" s="128" t="s">
        <v>0</v>
      </c>
      <c r="B4" s="128"/>
      <c r="C4" s="128"/>
      <c r="D4" s="128"/>
      <c r="E4" s="128"/>
      <c r="F4" s="219"/>
    </row>
    <row r="6" spans="1:12" ht="23.25">
      <c r="A6" s="276" t="s">
        <v>7</v>
      </c>
      <c r="B6" s="276"/>
      <c r="C6" s="276"/>
      <c r="D6" s="276"/>
      <c r="E6" s="276"/>
      <c r="F6" s="276"/>
    </row>
    <row r="7" spans="1:12" ht="18.75" customHeight="1">
      <c r="A7" s="129" t="s">
        <v>186</v>
      </c>
      <c r="B7" s="130" t="s">
        <v>46</v>
      </c>
      <c r="C7" s="130" t="s">
        <v>5</v>
      </c>
      <c r="D7" s="130" t="s">
        <v>187</v>
      </c>
      <c r="E7" s="130" t="s">
        <v>48</v>
      </c>
      <c r="F7" s="220" t="s">
        <v>13</v>
      </c>
      <c r="H7" s="281" t="s">
        <v>188</v>
      </c>
      <c r="I7" s="282"/>
      <c r="J7" s="282"/>
      <c r="K7" s="282"/>
      <c r="L7" s="283"/>
    </row>
    <row r="8" spans="1:12">
      <c r="A8" s="131" t="s">
        <v>189</v>
      </c>
      <c r="B8" s="132">
        <v>1</v>
      </c>
      <c r="C8" s="132">
        <v>5</v>
      </c>
      <c r="D8" s="132">
        <f t="shared" ref="D8:D13" si="0">B8*C8</f>
        <v>5</v>
      </c>
      <c r="E8" s="132" t="s">
        <v>127</v>
      </c>
      <c r="F8" s="211"/>
      <c r="H8" s="254"/>
      <c r="I8" s="254"/>
      <c r="J8" s="254"/>
      <c r="K8" s="254"/>
      <c r="L8" s="254"/>
    </row>
    <row r="9" spans="1:12" ht="15.75">
      <c r="A9" s="133" t="s">
        <v>190</v>
      </c>
      <c r="B9" s="134">
        <v>1</v>
      </c>
      <c r="C9" s="134">
        <v>15</v>
      </c>
      <c r="D9" s="134">
        <f t="shared" si="0"/>
        <v>15</v>
      </c>
      <c r="E9" s="134" t="s">
        <v>127</v>
      </c>
      <c r="F9" s="212"/>
      <c r="H9" s="242" t="s">
        <v>44</v>
      </c>
      <c r="I9" s="243" t="s">
        <v>5</v>
      </c>
      <c r="J9" s="243" t="s">
        <v>187</v>
      </c>
      <c r="K9" s="243" t="s">
        <v>191</v>
      </c>
      <c r="L9" s="243" t="s">
        <v>13</v>
      </c>
    </row>
    <row r="10" spans="1:12" ht="105">
      <c r="A10" s="135" t="s">
        <v>192</v>
      </c>
      <c r="B10" s="132">
        <v>0.95</v>
      </c>
      <c r="C10" s="132">
        <v>20</v>
      </c>
      <c r="D10" s="132">
        <f t="shared" si="0"/>
        <v>19</v>
      </c>
      <c r="E10" s="132" t="s">
        <v>127</v>
      </c>
      <c r="F10" s="211" t="s">
        <v>193</v>
      </c>
      <c r="H10" s="244" t="s">
        <v>194</v>
      </c>
      <c r="I10" s="284">
        <v>0.7</v>
      </c>
      <c r="J10" s="284">
        <v>10</v>
      </c>
      <c r="K10" s="284">
        <v>7</v>
      </c>
      <c r="L10" s="285" t="s">
        <v>195</v>
      </c>
    </row>
    <row r="11" spans="1:12" ht="105">
      <c r="A11" s="133" t="s">
        <v>196</v>
      </c>
      <c r="B11" s="134">
        <v>0.95</v>
      </c>
      <c r="C11" s="134">
        <v>20</v>
      </c>
      <c r="D11" s="134">
        <f t="shared" si="0"/>
        <v>19</v>
      </c>
      <c r="E11" s="134" t="s">
        <v>127</v>
      </c>
      <c r="F11" s="212" t="s">
        <v>197</v>
      </c>
      <c r="H11" s="244" t="s">
        <v>198</v>
      </c>
      <c r="I11" s="284">
        <v>0.6</v>
      </c>
      <c r="J11" s="284">
        <v>10</v>
      </c>
      <c r="K11" s="284">
        <v>6</v>
      </c>
      <c r="L11" s="285" t="s">
        <v>199</v>
      </c>
    </row>
    <row r="12" spans="1:12" ht="120">
      <c r="A12" s="131" t="s">
        <v>200</v>
      </c>
      <c r="B12" s="132">
        <v>1</v>
      </c>
      <c r="C12" s="132">
        <v>20</v>
      </c>
      <c r="D12" s="132">
        <f t="shared" si="0"/>
        <v>20</v>
      </c>
      <c r="E12" s="132" t="s">
        <v>127</v>
      </c>
      <c r="F12" s="211"/>
      <c r="H12" s="244" t="s">
        <v>201</v>
      </c>
      <c r="I12" s="284">
        <v>0.7</v>
      </c>
      <c r="J12" s="284">
        <v>20</v>
      </c>
      <c r="K12" s="284">
        <v>14</v>
      </c>
      <c r="L12" s="285" t="s">
        <v>202</v>
      </c>
    </row>
    <row r="13" spans="1:12" ht="120">
      <c r="A13" s="133" t="s">
        <v>203</v>
      </c>
      <c r="B13" s="134">
        <v>0.9</v>
      </c>
      <c r="C13" s="134">
        <v>20</v>
      </c>
      <c r="D13" s="134">
        <f t="shared" si="0"/>
        <v>18</v>
      </c>
      <c r="E13" s="134" t="s">
        <v>127</v>
      </c>
      <c r="F13" s="212" t="s">
        <v>204</v>
      </c>
      <c r="H13" s="244" t="s">
        <v>205</v>
      </c>
      <c r="I13" s="284">
        <v>0.7</v>
      </c>
      <c r="J13" s="284">
        <v>60</v>
      </c>
      <c r="K13" s="284">
        <v>42</v>
      </c>
      <c r="L13" s="285" t="s">
        <v>206</v>
      </c>
    </row>
    <row r="14" spans="1:12" ht="15.75">
      <c r="A14" s="136" t="s">
        <v>207</v>
      </c>
      <c r="B14" s="137"/>
      <c r="C14" s="137">
        <f>SUM(C8:C13)</f>
        <v>100</v>
      </c>
      <c r="D14" s="138">
        <f>(SUM(D8:D13)+D16+D17)/C14</f>
        <v>0.96</v>
      </c>
      <c r="E14" s="138"/>
      <c r="F14" s="213"/>
      <c r="H14" s="254"/>
      <c r="I14" s="254"/>
      <c r="J14" s="245" t="s">
        <v>3</v>
      </c>
      <c r="K14" s="246">
        <v>69</v>
      </c>
      <c r="L14" s="284" t="s">
        <v>208</v>
      </c>
    </row>
    <row r="15" spans="1:12">
      <c r="A15" s="139" t="s">
        <v>209</v>
      </c>
      <c r="B15" s="140" t="s">
        <v>46</v>
      </c>
      <c r="C15" s="140" t="s">
        <v>5</v>
      </c>
      <c r="D15" s="141" t="s">
        <v>187</v>
      </c>
      <c r="E15" s="141"/>
      <c r="F15" s="214" t="s">
        <v>13</v>
      </c>
    </row>
    <row r="16" spans="1:12">
      <c r="A16" s="142" t="s">
        <v>210</v>
      </c>
      <c r="B16" s="143"/>
      <c r="C16" s="144">
        <v>-10</v>
      </c>
      <c r="D16" s="143">
        <f>B16*C16</f>
        <v>0</v>
      </c>
      <c r="E16" s="143"/>
      <c r="F16" s="215"/>
    </row>
    <row r="17" spans="1:12">
      <c r="A17" s="145" t="s">
        <v>211</v>
      </c>
      <c r="B17" s="146"/>
      <c r="C17" s="147">
        <v>-15</v>
      </c>
      <c r="D17" s="146">
        <f>B17*C17</f>
        <v>0</v>
      </c>
      <c r="E17" s="146"/>
      <c r="F17" s="216"/>
    </row>
    <row r="18" spans="1:12">
      <c r="A18" s="148" t="s">
        <v>212</v>
      </c>
      <c r="B18" s="149">
        <v>0.69</v>
      </c>
      <c r="C18" s="150">
        <v>10</v>
      </c>
      <c r="D18" s="151">
        <f>C18*B18/10</f>
        <v>0.69</v>
      </c>
      <c r="E18" s="149"/>
      <c r="F18" s="217"/>
    </row>
    <row r="19" spans="1:12">
      <c r="A19" s="152"/>
      <c r="B19" s="153"/>
      <c r="C19" s="154"/>
      <c r="D19" s="155"/>
      <c r="E19" s="153"/>
      <c r="F19" s="221"/>
    </row>
    <row r="20" spans="1:12" ht="23.25" customHeight="1">
      <c r="A20" s="277" t="s">
        <v>8</v>
      </c>
      <c r="B20" s="277"/>
      <c r="C20" s="277"/>
      <c r="D20" s="277"/>
      <c r="E20" s="277"/>
      <c r="F20" s="277"/>
      <c r="H20" s="281" t="s">
        <v>213</v>
      </c>
      <c r="I20" s="282"/>
      <c r="J20" s="282"/>
      <c r="K20" s="282"/>
      <c r="L20" s="283"/>
    </row>
    <row r="21" spans="1:12">
      <c r="A21" s="156" t="s">
        <v>186</v>
      </c>
      <c r="B21" s="157" t="s">
        <v>46</v>
      </c>
      <c r="C21" s="157" t="s">
        <v>5</v>
      </c>
      <c r="D21" s="157" t="s">
        <v>187</v>
      </c>
      <c r="E21" s="158" t="s">
        <v>48</v>
      </c>
      <c r="F21" s="222" t="s">
        <v>13</v>
      </c>
      <c r="H21" s="254"/>
      <c r="I21" s="254"/>
      <c r="J21" s="254"/>
      <c r="K21" s="254"/>
      <c r="L21" s="254"/>
    </row>
    <row r="22" spans="1:12" ht="15.75">
      <c r="A22" s="159" t="s">
        <v>214</v>
      </c>
      <c r="B22" s="160">
        <v>1</v>
      </c>
      <c r="C22" s="160">
        <v>15</v>
      </c>
      <c r="D22" s="160">
        <f t="shared" ref="D22:D27" si="1">B22*C22</f>
        <v>15</v>
      </c>
      <c r="E22" s="160" t="s">
        <v>12</v>
      </c>
      <c r="F22" s="223"/>
      <c r="H22" s="242" t="s">
        <v>44</v>
      </c>
      <c r="I22" s="243" t="s">
        <v>5</v>
      </c>
      <c r="J22" s="243" t="s">
        <v>187</v>
      </c>
      <c r="K22" s="243" t="s">
        <v>191</v>
      </c>
      <c r="L22" s="243" t="s">
        <v>13</v>
      </c>
    </row>
    <row r="23" spans="1:12" ht="75">
      <c r="A23" s="161" t="s">
        <v>215</v>
      </c>
      <c r="B23" s="162">
        <v>1</v>
      </c>
      <c r="C23" s="162">
        <v>15</v>
      </c>
      <c r="D23" s="162">
        <f t="shared" si="1"/>
        <v>15</v>
      </c>
      <c r="E23" s="162" t="s">
        <v>12</v>
      </c>
      <c r="F23" s="163"/>
      <c r="H23" s="244" t="s">
        <v>194</v>
      </c>
      <c r="I23" s="284">
        <v>0.9</v>
      </c>
      <c r="J23" s="284">
        <v>10</v>
      </c>
      <c r="K23" s="284">
        <v>9</v>
      </c>
      <c r="L23" s="285" t="s">
        <v>216</v>
      </c>
    </row>
    <row r="24" spans="1:12" ht="60">
      <c r="A24" s="159" t="s">
        <v>28</v>
      </c>
      <c r="B24" s="160">
        <v>1</v>
      </c>
      <c r="C24" s="160">
        <v>20</v>
      </c>
      <c r="D24" s="160">
        <f t="shared" si="1"/>
        <v>20</v>
      </c>
      <c r="E24" s="160" t="s">
        <v>12</v>
      </c>
      <c r="F24" s="224"/>
      <c r="H24" s="244" t="s">
        <v>198</v>
      </c>
      <c r="I24" s="284">
        <v>0.8</v>
      </c>
      <c r="J24" s="284">
        <v>10</v>
      </c>
      <c r="K24" s="284">
        <v>8</v>
      </c>
      <c r="L24" s="285" t="s">
        <v>217</v>
      </c>
    </row>
    <row r="25" spans="1:12" ht="75">
      <c r="A25" s="164" t="s">
        <v>218</v>
      </c>
      <c r="B25" s="162">
        <v>0.9</v>
      </c>
      <c r="C25" s="162">
        <v>30</v>
      </c>
      <c r="D25" s="162">
        <f t="shared" si="1"/>
        <v>27</v>
      </c>
      <c r="E25" s="162" t="s">
        <v>12</v>
      </c>
      <c r="F25" s="163" t="s">
        <v>219</v>
      </c>
      <c r="H25" s="244" t="s">
        <v>201</v>
      </c>
      <c r="I25" s="284">
        <v>0.6</v>
      </c>
      <c r="J25" s="284">
        <v>20</v>
      </c>
      <c r="K25" s="284">
        <v>12</v>
      </c>
      <c r="L25" s="285" t="s">
        <v>220</v>
      </c>
    </row>
    <row r="26" spans="1:12" ht="90">
      <c r="A26" s="160" t="s">
        <v>221</v>
      </c>
      <c r="B26" s="160">
        <v>1</v>
      </c>
      <c r="C26" s="160">
        <v>10</v>
      </c>
      <c r="D26" s="160">
        <f t="shared" si="1"/>
        <v>10</v>
      </c>
      <c r="E26" s="160" t="s">
        <v>12</v>
      </c>
      <c r="F26" s="224"/>
      <c r="H26" s="244" t="s">
        <v>205</v>
      </c>
      <c r="I26" s="284">
        <v>0.7</v>
      </c>
      <c r="J26" s="284">
        <v>60</v>
      </c>
      <c r="K26" s="284">
        <v>42</v>
      </c>
      <c r="L26" s="285" t="s">
        <v>222</v>
      </c>
    </row>
    <row r="27" spans="1:12" ht="15.75">
      <c r="A27" s="162" t="s">
        <v>223</v>
      </c>
      <c r="B27" s="162">
        <v>0.95</v>
      </c>
      <c r="C27" s="162">
        <v>10</v>
      </c>
      <c r="D27" s="162">
        <f t="shared" si="1"/>
        <v>9.5</v>
      </c>
      <c r="E27" s="162" t="s">
        <v>12</v>
      </c>
      <c r="F27" s="163" t="s">
        <v>224</v>
      </c>
      <c r="H27" s="254"/>
      <c r="I27" s="254"/>
      <c r="J27" s="245" t="s">
        <v>3</v>
      </c>
      <c r="K27" s="246">
        <v>71</v>
      </c>
      <c r="L27" s="284" t="s">
        <v>208</v>
      </c>
    </row>
    <row r="28" spans="1:12" ht="18.75">
      <c r="A28" s="165" t="s">
        <v>207</v>
      </c>
      <c r="B28" s="166"/>
      <c r="C28" s="166">
        <f>SUM(C22:C27)</f>
        <v>100</v>
      </c>
      <c r="D28" s="167">
        <f>(SUM(D22:D27) + D30+D31+D32)/C28</f>
        <v>0.94499999999999995</v>
      </c>
      <c r="E28" s="167"/>
      <c r="F28" s="225"/>
      <c r="H28" s="254"/>
      <c r="I28" s="254"/>
      <c r="J28" s="247" t="s">
        <v>225</v>
      </c>
      <c r="K28" s="248">
        <v>71</v>
      </c>
      <c r="L28" s="254"/>
    </row>
    <row r="29" spans="1:12">
      <c r="A29" s="168" t="s">
        <v>209</v>
      </c>
      <c r="B29" s="169" t="s">
        <v>46</v>
      </c>
      <c r="C29" s="169" t="s">
        <v>5</v>
      </c>
      <c r="D29" s="170" t="s">
        <v>187</v>
      </c>
      <c r="E29" s="170"/>
      <c r="F29" s="226" t="s">
        <v>13</v>
      </c>
    </row>
    <row r="30" spans="1:12" ht="30">
      <c r="A30" s="171" t="s">
        <v>210</v>
      </c>
      <c r="B30" s="172">
        <v>0.2</v>
      </c>
      <c r="C30" s="173">
        <v>-10</v>
      </c>
      <c r="D30" s="172">
        <f>B30*C30</f>
        <v>-2</v>
      </c>
      <c r="E30" s="172"/>
      <c r="F30" s="227" t="s">
        <v>226</v>
      </c>
    </row>
    <row r="31" spans="1:12">
      <c r="A31" s="159" t="s">
        <v>227</v>
      </c>
      <c r="B31" s="174">
        <v>0</v>
      </c>
      <c r="C31" s="175">
        <v>-15</v>
      </c>
      <c r="D31" s="174">
        <f>B31*C31</f>
        <v>0</v>
      </c>
      <c r="E31" s="174"/>
      <c r="F31" s="228"/>
    </row>
    <row r="32" spans="1:12">
      <c r="A32" s="176" t="s">
        <v>228</v>
      </c>
      <c r="B32" s="177">
        <v>0</v>
      </c>
      <c r="C32" s="178">
        <v>-5</v>
      </c>
      <c r="D32" s="177">
        <f>B32*C32</f>
        <v>0</v>
      </c>
      <c r="E32" s="177"/>
      <c r="F32" s="229"/>
    </row>
    <row r="33" spans="1:12">
      <c r="A33" s="179" t="s">
        <v>212</v>
      </c>
      <c r="B33" s="180">
        <v>0.71</v>
      </c>
      <c r="C33" s="181">
        <v>10</v>
      </c>
      <c r="D33" s="182">
        <f>C33*B33/10</f>
        <v>0.71</v>
      </c>
      <c r="E33" s="180" t="s">
        <v>127</v>
      </c>
      <c r="F33" s="230"/>
    </row>
    <row r="34" spans="1:12">
      <c r="A34" s="183"/>
      <c r="B34" s="184"/>
      <c r="C34" s="185"/>
      <c r="D34" s="184"/>
      <c r="E34" s="184"/>
      <c r="F34" s="231"/>
    </row>
    <row r="35" spans="1:12" ht="23.25">
      <c r="A35" s="278" t="s">
        <v>9</v>
      </c>
      <c r="B35" s="278"/>
      <c r="C35" s="278"/>
      <c r="D35" s="278"/>
      <c r="E35" s="278"/>
      <c r="F35" s="278"/>
      <c r="H35" s="281" t="s">
        <v>229</v>
      </c>
      <c r="I35" s="282"/>
      <c r="J35" s="282"/>
      <c r="K35" s="282"/>
      <c r="L35" s="283"/>
    </row>
    <row r="36" spans="1:12">
      <c r="A36" s="186" t="s">
        <v>186</v>
      </c>
      <c r="B36" s="187" t="s">
        <v>46</v>
      </c>
      <c r="C36" s="187" t="s">
        <v>5</v>
      </c>
      <c r="D36" s="187" t="s">
        <v>187</v>
      </c>
      <c r="E36" s="187" t="s">
        <v>48</v>
      </c>
      <c r="F36" s="232" t="s">
        <v>13</v>
      </c>
      <c r="H36" s="254"/>
      <c r="I36" s="254"/>
      <c r="J36" s="254"/>
      <c r="K36" s="254"/>
      <c r="L36" s="254"/>
    </row>
    <row r="37" spans="1:12" ht="60">
      <c r="A37" s="188" t="s">
        <v>230</v>
      </c>
      <c r="B37" s="189">
        <v>0.9</v>
      </c>
      <c r="C37" s="189">
        <v>20</v>
      </c>
      <c r="D37" s="189">
        <f t="shared" ref="D37:D42" si="2">B37*C37</f>
        <v>18</v>
      </c>
      <c r="E37" s="189" t="s">
        <v>49</v>
      </c>
      <c r="F37" s="190" t="s">
        <v>231</v>
      </c>
      <c r="H37" s="242" t="s">
        <v>44</v>
      </c>
      <c r="I37" s="243" t="s">
        <v>5</v>
      </c>
      <c r="J37" s="243" t="s">
        <v>187</v>
      </c>
      <c r="K37" s="243" t="s">
        <v>191</v>
      </c>
      <c r="L37" s="243" t="s">
        <v>13</v>
      </c>
    </row>
    <row r="38" spans="1:12">
      <c r="A38" s="191" t="s">
        <v>232</v>
      </c>
      <c r="B38" s="192">
        <v>1</v>
      </c>
      <c r="C38" s="192">
        <v>20</v>
      </c>
      <c r="D38" s="192">
        <f t="shared" si="2"/>
        <v>20</v>
      </c>
      <c r="E38" s="192" t="s">
        <v>49</v>
      </c>
      <c r="F38" s="233"/>
      <c r="H38" s="244" t="s">
        <v>194</v>
      </c>
      <c r="I38" s="284">
        <v>1</v>
      </c>
      <c r="J38" s="284">
        <v>10</v>
      </c>
      <c r="K38" s="284">
        <f>I38*J38</f>
        <v>10</v>
      </c>
      <c r="L38" s="285"/>
    </row>
    <row r="39" spans="1:12">
      <c r="A39" s="193" t="s">
        <v>233</v>
      </c>
      <c r="B39" s="189">
        <v>1</v>
      </c>
      <c r="C39" s="189">
        <v>20</v>
      </c>
      <c r="D39" s="189">
        <f t="shared" si="2"/>
        <v>20</v>
      </c>
      <c r="E39" s="189" t="s">
        <v>49</v>
      </c>
      <c r="F39" s="190"/>
      <c r="H39" s="244" t="s">
        <v>198</v>
      </c>
      <c r="I39" s="284">
        <v>1</v>
      </c>
      <c r="J39" s="284">
        <v>10</v>
      </c>
      <c r="K39" s="284">
        <f t="shared" ref="K39:K41" si="3">I39*J39</f>
        <v>10</v>
      </c>
      <c r="L39" s="285"/>
    </row>
    <row r="40" spans="1:12" ht="119.25" customHeight="1">
      <c r="A40" s="191" t="s">
        <v>234</v>
      </c>
      <c r="B40" s="192">
        <v>1</v>
      </c>
      <c r="C40" s="192">
        <v>15</v>
      </c>
      <c r="D40" s="192">
        <f t="shared" si="2"/>
        <v>15</v>
      </c>
      <c r="E40" s="192" t="s">
        <v>49</v>
      </c>
      <c r="F40" s="233"/>
      <c r="H40" s="244" t="s">
        <v>201</v>
      </c>
      <c r="I40" s="284">
        <v>0.9</v>
      </c>
      <c r="J40" s="284">
        <v>20</v>
      </c>
      <c r="K40" s="284">
        <f t="shared" si="3"/>
        <v>18</v>
      </c>
      <c r="L40" s="285" t="s">
        <v>235</v>
      </c>
    </row>
    <row r="41" spans="1:12" ht="75">
      <c r="A41" s="193" t="s">
        <v>236</v>
      </c>
      <c r="B41" s="189">
        <v>1</v>
      </c>
      <c r="C41" s="189">
        <v>10</v>
      </c>
      <c r="D41" s="189">
        <f t="shared" si="2"/>
        <v>10</v>
      </c>
      <c r="E41" s="189" t="s">
        <v>49</v>
      </c>
      <c r="F41" s="190"/>
      <c r="H41" s="244" t="s">
        <v>205</v>
      </c>
      <c r="I41" s="284">
        <v>0.9</v>
      </c>
      <c r="J41" s="284">
        <v>60</v>
      </c>
      <c r="K41" s="284">
        <f t="shared" si="3"/>
        <v>54</v>
      </c>
      <c r="L41" s="285" t="s">
        <v>237</v>
      </c>
    </row>
    <row r="42" spans="1:12" ht="15.75">
      <c r="A42" s="191" t="s">
        <v>238</v>
      </c>
      <c r="B42" s="192">
        <v>0.9</v>
      </c>
      <c r="C42" s="192">
        <v>15</v>
      </c>
      <c r="D42" s="192">
        <f t="shared" si="2"/>
        <v>13.5</v>
      </c>
      <c r="E42" s="192" t="s">
        <v>49</v>
      </c>
      <c r="F42" s="233" t="s">
        <v>239</v>
      </c>
      <c r="H42" s="254"/>
      <c r="I42" s="254"/>
      <c r="J42" s="245" t="s">
        <v>3</v>
      </c>
      <c r="K42" s="246">
        <f>SUM(K38:K41)</f>
        <v>92</v>
      </c>
      <c r="L42" s="284" t="s">
        <v>208</v>
      </c>
    </row>
    <row r="43" spans="1:12" ht="18.75">
      <c r="A43" s="194" t="s">
        <v>207</v>
      </c>
      <c r="B43" s="195"/>
      <c r="C43" s="195">
        <f>SUM(C37:C42)</f>
        <v>100</v>
      </c>
      <c r="D43" s="196">
        <f>(SUM(D37:D42) +D45+D46+D47)/C43</f>
        <v>0.96499999999999997</v>
      </c>
      <c r="E43" s="196"/>
      <c r="F43" s="234"/>
      <c r="H43" s="254"/>
      <c r="I43" s="254"/>
      <c r="J43" s="247" t="s">
        <v>240</v>
      </c>
      <c r="K43" s="248">
        <f>K42/SUM(J38:J41)</f>
        <v>0.92</v>
      </c>
      <c r="L43" s="254"/>
    </row>
    <row r="44" spans="1:12">
      <c r="A44" s="197" t="s">
        <v>209</v>
      </c>
      <c r="B44" s="198" t="s">
        <v>46</v>
      </c>
      <c r="C44" s="198" t="s">
        <v>5</v>
      </c>
      <c r="D44" s="199" t="s">
        <v>187</v>
      </c>
      <c r="E44" s="199"/>
      <c r="F44" s="235" t="s">
        <v>13</v>
      </c>
    </row>
    <row r="45" spans="1:12">
      <c r="A45" s="200" t="s">
        <v>210</v>
      </c>
      <c r="B45" s="201">
        <v>0</v>
      </c>
      <c r="C45" s="202">
        <v>-10</v>
      </c>
      <c r="D45" s="201">
        <f>B45*C45</f>
        <v>0</v>
      </c>
      <c r="E45" s="201"/>
      <c r="F45" s="236"/>
    </row>
    <row r="46" spans="1:12">
      <c r="A46" s="193" t="s">
        <v>227</v>
      </c>
      <c r="B46" s="203">
        <v>0</v>
      </c>
      <c r="C46" s="204">
        <v>-15</v>
      </c>
      <c r="D46" s="203">
        <f>B46*C46</f>
        <v>0</v>
      </c>
      <c r="E46" s="203"/>
      <c r="F46" s="237"/>
    </row>
    <row r="47" spans="1:12">
      <c r="A47" s="205" t="s">
        <v>228</v>
      </c>
      <c r="B47" s="206">
        <v>0</v>
      </c>
      <c r="C47" s="207">
        <v>-5</v>
      </c>
      <c r="D47" s="206">
        <f>B47*C47</f>
        <v>0</v>
      </c>
      <c r="E47" s="206"/>
      <c r="F47" s="238"/>
    </row>
    <row r="48" spans="1:12">
      <c r="A48" s="194" t="s">
        <v>212</v>
      </c>
      <c r="B48" s="208">
        <f>K43</f>
        <v>0.92</v>
      </c>
      <c r="C48" s="209">
        <v>10</v>
      </c>
      <c r="D48" s="210">
        <f>C48*B48/10</f>
        <v>0.92000000000000015</v>
      </c>
      <c r="E48" s="208" t="s">
        <v>49</v>
      </c>
      <c r="F48" s="239"/>
    </row>
  </sheetData>
  <mergeCells count="7">
    <mergeCell ref="A2:F2"/>
    <mergeCell ref="A6:F6"/>
    <mergeCell ref="A20:F20"/>
    <mergeCell ref="A35:F35"/>
    <mergeCell ref="H7:L7"/>
    <mergeCell ref="H20:L20"/>
    <mergeCell ref="H35:L35"/>
  </mergeCells>
  <dataValidations count="2">
    <dataValidation type="decimal" allowBlank="1" showInputMessage="1" showErrorMessage="1" sqref="B8:B14 B16:B19 D17:E19 B22:B27 B30:B34 B37:B42 B45:B48" xr:uid="{00000000-0002-0000-0200-000000000000}">
      <formula1>0</formula1>
      <formula2>1</formula2>
    </dataValidation>
    <dataValidation type="whole" allowBlank="1" showInputMessage="1" showErrorMessage="1" sqref="D31:E31 D46:E46" xr:uid="{00000000-0002-0000-0200-000001000000}">
      <formula1>0</formula1>
      <formula2>1</formula2>
    </dataValidation>
  </dataValidation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Emilio</dc:creator>
  <cp:keywords/>
  <dc:description/>
  <cp:lastModifiedBy>Zachary Ouellet</cp:lastModifiedBy>
  <cp:revision>9</cp:revision>
  <dcterms:created xsi:type="dcterms:W3CDTF">2006-09-16T00:00:00Z</dcterms:created>
  <dcterms:modified xsi:type="dcterms:W3CDTF">2026-05-06T06:51:11Z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0x010100B41E0342602C49449CD93109DBCAB8C5</vt:lpwstr>
  </property>
  <property fmtid="{D5CDD505-2E9C-101B-9397-08002B2CF9AE}" pid="3" name="HyperlinksChanged">
    <vt:bool>false</vt:bool>
  </property>
  <property fmtid="{D5CDD505-2E9C-101B-9397-08002B2CF9AE}" pid="4" name="LinksUpToDate">
    <vt:bool>false</vt:bool>
  </property>
  <property fmtid="{D5CDD505-2E9C-101B-9397-08002B2CF9AE}" pid="5" name="ScaleCrop">
    <vt:bool>false</vt:bool>
  </property>
  <property fmtid="{D5CDD505-2E9C-101B-9397-08002B2CF9AE}" pid="6" name="ShareDoc">
    <vt:bool>false</vt:bool>
  </property>
</Properties>
</file>